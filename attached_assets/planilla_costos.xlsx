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3.xml" ContentType="application/vnd.openxmlformats-officedocument.drawing+xml"/>
  <Override PartName="/xl/comments9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4.xml" ContentType="application/vnd.openxmlformats-officedocument.drawing+xml"/>
  <Override PartName="/xl/comments10.xml" ContentType="application/vnd.openxmlformats-officedocument.spreadsheetml.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5.xml" ContentType="application/vnd.openxmlformats-officedocument.drawing+xml"/>
  <Override PartName="/xl/comments11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6.xml" ContentType="application/vnd.openxmlformats-officedocument.drawing+xml"/>
  <Override PartName="/xl/comments12.xml" ContentType="application/vnd.openxmlformats-officedocument.spreadsheetml.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7.xml" ContentType="application/vnd.openxmlformats-officedocument.drawing+xml"/>
  <Override PartName="/xl/comments13.xml" ContentType="application/vnd.openxmlformats-officedocument.spreadsheetml.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8.xml" ContentType="application/vnd.openxmlformats-officedocument.drawing+xml"/>
  <Override PartName="/xl/comments14.xml" ContentType="application/vnd.openxmlformats-officedocument.spreadsheetml.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9.xml" ContentType="application/vnd.openxmlformats-officedocument.drawing+xml"/>
  <Override PartName="/xl/comments15.xml" ContentType="application/vnd.openxmlformats-officedocument.spreadsheetml.comment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0.xml" ContentType="application/vnd.openxmlformats-officedocument.drawing+xml"/>
  <Override PartName="/xl/comments16.xml" ContentType="application/vnd.openxmlformats-officedocument.spreadsheetml.comment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1.xml" ContentType="application/vnd.openxmlformats-officedocument.drawing+xml"/>
  <Override PartName="/xl/comments17.xml" ContentType="application/vnd.openxmlformats-officedocument.spreadsheetml.comment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2.xml" ContentType="application/vnd.openxmlformats-officedocument.drawing+xml"/>
  <Override PartName="/xl/comments18.xml" ContentType="application/vnd.openxmlformats-officedocument.spreadsheetml.comment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3.xml" ContentType="application/vnd.openxmlformats-officedocument.drawing+xml"/>
  <Override PartName="/xl/comments19.xml" ContentType="application/vnd.openxmlformats-officedocument.spreadsheetml.comment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4.xml" ContentType="application/vnd.openxmlformats-officedocument.drawing+xml"/>
  <Override PartName="/xl/comments20.xml" ContentType="application/vnd.openxmlformats-officedocument.spreadsheetml.comment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5.xml" ContentType="application/vnd.openxmlformats-officedocument.drawing+xml"/>
  <Override PartName="/xl/comments21.xml" ContentType="application/vnd.openxmlformats-officedocument.spreadsheetml.comment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6.xml" ContentType="application/vnd.openxmlformats-officedocument.drawing+xml"/>
  <Override PartName="/xl/comments22.xml" ContentType="application/vnd.openxmlformats-officedocument.spreadsheetml.comment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7.xml" ContentType="application/vnd.openxmlformats-officedocument.drawing+xml"/>
  <Override PartName="/xl/comments23.xml" ContentType="application/vnd.openxmlformats-officedocument.spreadsheetml.comment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8.xml" ContentType="application/vnd.openxmlformats-officedocument.drawing+xml"/>
  <Override PartName="/xl/comments24.xml" ContentType="application/vnd.openxmlformats-officedocument.spreadsheetml.comment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9.xml" ContentType="application/vnd.openxmlformats-officedocument.drawing+xml"/>
  <Override PartName="/xl/comments25.xml" ContentType="application/vnd.openxmlformats-officedocument.spreadsheetml.comment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0.xml" ContentType="application/vnd.openxmlformats-officedocument.drawing+xml"/>
  <Override PartName="/xl/comments26.xml" ContentType="application/vnd.openxmlformats-officedocument.spreadsheetml.comment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1.xml" ContentType="application/vnd.openxmlformats-officedocument.drawing+xml"/>
  <Override PartName="/xl/comments27.xml" ContentType="application/vnd.openxmlformats-officedocument.spreadsheetml.comment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32.xml" ContentType="application/vnd.openxmlformats-officedocument.drawing+xml"/>
  <Override PartName="/xl/comments28.xml" ContentType="application/vnd.openxmlformats-officedocument.spreadsheetml.comment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3.xml" ContentType="application/vnd.openxmlformats-officedocument.drawing+xml"/>
  <Override PartName="/xl/comments29.xml" ContentType="application/vnd.openxmlformats-officedocument.spreadsheetml.comment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4.xml" ContentType="application/vnd.openxmlformats-officedocument.drawing+xml"/>
  <Override PartName="/xl/comments30.xml" ContentType="application/vnd.openxmlformats-officedocument.spreadsheetml.comment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5.xml" ContentType="application/vnd.openxmlformats-officedocument.drawing+xml"/>
  <Override PartName="/xl/comments31.xml" ContentType="application/vnd.openxmlformats-officedocument.spreadsheetml.comment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6.xml" ContentType="application/vnd.openxmlformats-officedocument.drawing+xml"/>
  <Override PartName="/xl/comments32.xml" ContentType="application/vnd.openxmlformats-officedocument.spreadsheetml.comments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7.xml" ContentType="application/vnd.openxmlformats-officedocument.drawing+xml"/>
  <Override PartName="/xl/comments33.xml" ContentType="application/vnd.openxmlformats-officedocument.spreadsheetml.comment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8.xml" ContentType="application/vnd.openxmlformats-officedocument.drawing+xml"/>
  <Override PartName="/xl/comments34.xml" ContentType="application/vnd.openxmlformats-officedocument.spreadsheetml.comments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9.xml" ContentType="application/vnd.openxmlformats-officedocument.drawing+xml"/>
  <Override PartName="/xl/comments35.xml" ContentType="application/vnd.openxmlformats-officedocument.spreadsheetml.comments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40.xml" ContentType="application/vnd.openxmlformats-officedocument.drawing+xml"/>
  <Override PartName="/xl/comments36.xml" ContentType="application/vnd.openxmlformats-officedocument.spreadsheetml.comments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41.xml" ContentType="application/vnd.openxmlformats-officedocument.drawing+xml"/>
  <Override PartName="/xl/comments37.xml" ContentType="application/vnd.openxmlformats-officedocument.spreadsheetml.comments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42.xml" ContentType="application/vnd.openxmlformats-officedocument.drawing+xml"/>
  <Override PartName="/xl/comments38.xml" ContentType="application/vnd.openxmlformats-officedocument.spreadsheetml.comments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43.xml" ContentType="application/vnd.openxmlformats-officedocument.drawing+xml"/>
  <Override PartName="/xl/comments39.xml" ContentType="application/vnd.openxmlformats-officedocument.spreadsheetml.comments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44.xml" ContentType="application/vnd.openxmlformats-officedocument.drawing+xml"/>
  <Override PartName="/xl/comments40.xml" ContentType="application/vnd.openxmlformats-officedocument.spreadsheetml.comments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45.xml" ContentType="application/vnd.openxmlformats-officedocument.drawing+xml"/>
  <Override PartName="/xl/comments41.xml" ContentType="application/vnd.openxmlformats-officedocument.spreadsheetml.comments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46.xml" ContentType="application/vnd.openxmlformats-officedocument.drawing+xml"/>
  <Override PartName="/xl/comments42.xml" ContentType="application/vnd.openxmlformats-officedocument.spreadsheetml.comments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47.xml" ContentType="application/vnd.openxmlformats-officedocument.drawing+xml"/>
  <Override PartName="/xl/comments43.xml" ContentType="application/vnd.openxmlformats-officedocument.spreadsheetml.comments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48.xml" ContentType="application/vnd.openxmlformats-officedocument.drawing+xml"/>
  <Override PartName="/xl/comments44.xml" ContentType="application/vnd.openxmlformats-officedocument.spreadsheetml.comments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49.xml" ContentType="application/vnd.openxmlformats-officedocument.drawing+xml"/>
  <Override PartName="/xl/comments45.xml" ContentType="application/vnd.openxmlformats-officedocument.spreadsheetml.comments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50.xml" ContentType="application/vnd.openxmlformats-officedocument.drawing+xml"/>
  <Override PartName="/xl/comments46.xml" ContentType="application/vnd.openxmlformats-officedocument.spreadsheetml.comments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51.xml" ContentType="application/vnd.openxmlformats-officedocument.drawing+xml"/>
  <Override PartName="/xl/comments47.xml" ContentType="application/vnd.openxmlformats-officedocument.spreadsheetml.comments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52.xml" ContentType="application/vnd.openxmlformats-officedocument.drawing+xml"/>
  <Override PartName="/xl/comments48.xml" ContentType="application/vnd.openxmlformats-officedocument.spreadsheetml.comments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53.xml" ContentType="application/vnd.openxmlformats-officedocument.drawing+xml"/>
  <Override PartName="/xl/comments49.xml" ContentType="application/vnd.openxmlformats-officedocument.spreadsheetml.comments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54.xml" ContentType="application/vnd.openxmlformats-officedocument.drawing+xml"/>
  <Override PartName="/xl/comments50.xml" ContentType="application/vnd.openxmlformats-officedocument.spreadsheetml.comments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55.xml" ContentType="application/vnd.openxmlformats-officedocument.drawing+xml"/>
  <Override PartName="/xl/comments51.xml" ContentType="application/vnd.openxmlformats-officedocument.spreadsheetml.comments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56.xml" ContentType="application/vnd.openxmlformats-officedocument.drawing+xml"/>
  <Override PartName="/xl/comments52.xml" ContentType="application/vnd.openxmlformats-officedocument.spreadsheetml.comments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57.xml" ContentType="application/vnd.openxmlformats-officedocument.drawing+xml"/>
  <Override PartName="/xl/comments53.xml" ContentType="application/vnd.openxmlformats-officedocument.spreadsheetml.comments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58.xml" ContentType="application/vnd.openxmlformats-officedocument.drawing+xml"/>
  <Override PartName="/xl/comments54.xml" ContentType="application/vnd.openxmlformats-officedocument.spreadsheetml.comments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59.xml" ContentType="application/vnd.openxmlformats-officedocument.drawing+xml"/>
  <Override PartName="/xl/comments55.xml" ContentType="application/vnd.openxmlformats-officedocument.spreadsheetml.comments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60.xml" ContentType="application/vnd.openxmlformats-officedocument.drawing+xml"/>
  <Override PartName="/xl/comments56.xml" ContentType="application/vnd.openxmlformats-officedocument.spreadsheetml.comments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61.xml" ContentType="application/vnd.openxmlformats-officedocument.drawing+xml"/>
  <Override PartName="/xl/comments57.xml" ContentType="application/vnd.openxmlformats-officedocument.spreadsheetml.comments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62.xml" ContentType="application/vnd.openxmlformats-officedocument.drawing+xml"/>
  <Override PartName="/xl/comments58.xml" ContentType="application/vnd.openxmlformats-officedocument.spreadsheetml.comments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63.xml" ContentType="application/vnd.openxmlformats-officedocument.drawing+xml"/>
  <Override PartName="/xl/comments59.xml" ContentType="application/vnd.openxmlformats-officedocument.spreadsheetml.comments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64.xml" ContentType="application/vnd.openxmlformats-officedocument.drawing+xml"/>
  <Override PartName="/xl/comments60.xml" ContentType="application/vnd.openxmlformats-officedocument.spreadsheetml.comments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ribioli\Desktop\"/>
    </mc:Choice>
  </mc:AlternateContent>
  <xr:revisionPtr revIDLastSave="0" documentId="13_ncr:1_{18350D82-E436-4760-BA21-239868495FAA}" xr6:coauthVersionLast="47" xr6:coauthVersionMax="47" xr10:uidLastSave="{00000000-0000-0000-0000-000000000000}"/>
  <bookViews>
    <workbookView xWindow="-120" yWindow="-120" windowWidth="29040" windowHeight="15720" activeTab="6" xr2:uid="{4977EA51-649E-4B45-9653-26AFEDFA8DE6}"/>
  </bookViews>
  <sheets>
    <sheet name="MENU" sheetId="8" r:id="rId1"/>
    <sheet name="Ingredientes" sheetId="4" r:id="rId2"/>
    <sheet name="MO" sheetId="6" r:id="rId3"/>
    <sheet name="CIF" sheetId="7" r:id="rId4"/>
    <sheet name="1" sheetId="1" r:id="rId5"/>
    <sheet name="2" sheetId="9" r:id="rId6"/>
    <sheet name="3" sheetId="10" r:id="rId7"/>
    <sheet name="4" sheetId="11" r:id="rId8"/>
    <sheet name="5" sheetId="12" r:id="rId9"/>
    <sheet name="6" sheetId="13" r:id="rId10"/>
    <sheet name="7" sheetId="14" r:id="rId11"/>
    <sheet name="8" sheetId="15" r:id="rId12"/>
    <sheet name="9" sheetId="16" r:id="rId13"/>
    <sheet name="10" sheetId="17" r:id="rId14"/>
    <sheet name="11" sheetId="18" r:id="rId15"/>
    <sheet name="12" sheetId="19" r:id="rId16"/>
    <sheet name="13" sheetId="20" r:id="rId17"/>
    <sheet name="14" sheetId="21" r:id="rId18"/>
    <sheet name="15" sheetId="22" r:id="rId19"/>
    <sheet name="16" sheetId="23" r:id="rId20"/>
    <sheet name="17" sheetId="24" r:id="rId21"/>
    <sheet name="18" sheetId="25" r:id="rId22"/>
    <sheet name="19" sheetId="26" r:id="rId23"/>
    <sheet name="20" sheetId="27" r:id="rId24"/>
    <sheet name="21" sheetId="28" r:id="rId25"/>
    <sheet name="22" sheetId="29" r:id="rId26"/>
    <sheet name="23" sheetId="30" r:id="rId27"/>
    <sheet name="24" sheetId="43" r:id="rId28"/>
    <sheet name="25" sheetId="44" r:id="rId29"/>
    <sheet name="26" sheetId="45" r:id="rId30"/>
    <sheet name="27" sheetId="46" r:id="rId31"/>
    <sheet name="28" sheetId="47" r:id="rId32"/>
    <sheet name="29" sheetId="48" r:id="rId33"/>
    <sheet name="30" sheetId="49" r:id="rId34"/>
    <sheet name="31" sheetId="50" r:id="rId35"/>
    <sheet name="32" sheetId="51" r:id="rId36"/>
    <sheet name="33" sheetId="52" r:id="rId37"/>
    <sheet name="34" sheetId="53" r:id="rId38"/>
    <sheet name="35" sheetId="54" r:id="rId39"/>
    <sheet name="36" sheetId="55" r:id="rId40"/>
    <sheet name="37" sheetId="56" r:id="rId41"/>
    <sheet name="38" sheetId="57" r:id="rId42"/>
    <sheet name="39" sheetId="58" r:id="rId43"/>
    <sheet name="40" sheetId="59" r:id="rId44"/>
    <sheet name="41" sheetId="60" r:id="rId45"/>
    <sheet name="42" sheetId="61" r:id="rId46"/>
    <sheet name="43" sheetId="62" r:id="rId47"/>
    <sheet name="44" sheetId="63" r:id="rId48"/>
    <sheet name="45" sheetId="64" r:id="rId49"/>
    <sheet name="46" sheetId="65" r:id="rId50"/>
    <sheet name="47" sheetId="66" r:id="rId51"/>
    <sheet name="48" sheetId="67" r:id="rId52"/>
    <sheet name="49" sheetId="68" r:id="rId53"/>
    <sheet name="50" sheetId="69" r:id="rId54"/>
    <sheet name="51" sheetId="70" r:id="rId55"/>
    <sheet name="52" sheetId="71" r:id="rId56"/>
    <sheet name="53" sheetId="72" r:id="rId57"/>
    <sheet name="54" sheetId="73" r:id="rId58"/>
    <sheet name="55" sheetId="74" r:id="rId59"/>
    <sheet name="56" sheetId="75" r:id="rId60"/>
    <sheet name="57" sheetId="76" r:id="rId61"/>
    <sheet name="58" sheetId="77" r:id="rId62"/>
    <sheet name="59" sheetId="78" r:id="rId63"/>
    <sheet name="60" sheetId="79" r:id="rId64"/>
    <sheet name="Hoja2" sheetId="2" state="hidden" r:id="rId65"/>
  </sheets>
  <definedNames>
    <definedName name="_xlnm._FilterDatabase" localSheetId="1" hidden="1">Ingredientes!$B$4:$E$744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E18" i="6" l="1"/>
  <c r="B2" i="79"/>
  <c r="B2" i="78"/>
  <c r="B2" i="77"/>
  <c r="B2" i="76"/>
  <c r="B2" i="75"/>
  <c r="B2" i="74"/>
  <c r="B2" i="73"/>
  <c r="B2" i="72"/>
  <c r="B2" i="71"/>
  <c r="B2" i="70"/>
  <c r="B2" i="69"/>
  <c r="B2" i="68"/>
  <c r="B2" i="67"/>
  <c r="B2" i="66"/>
  <c r="B2" i="65"/>
  <c r="B2" i="64"/>
  <c r="B2" i="63"/>
  <c r="B2" i="62"/>
  <c r="B2" i="61"/>
  <c r="B2" i="60"/>
  <c r="B2" i="59"/>
  <c r="B2" i="58"/>
  <c r="B2" i="57"/>
  <c r="B2" i="56"/>
  <c r="B2" i="55"/>
  <c r="B2" i="54"/>
  <c r="B2" i="53"/>
  <c r="B2" i="52"/>
  <c r="B2" i="51"/>
  <c r="B2" i="50"/>
  <c r="B2" i="49"/>
  <c r="B2" i="48"/>
  <c r="B2" i="47"/>
  <c r="B2" i="46"/>
  <c r="B2" i="45"/>
  <c r="B2" i="44"/>
  <c r="B2" i="43"/>
  <c r="B2" i="30"/>
  <c r="B2" i="29"/>
  <c r="B2" i="28"/>
  <c r="B2" i="27"/>
  <c r="B2" i="26"/>
  <c r="B2" i="25"/>
  <c r="B2" i="24"/>
  <c r="B2" i="23"/>
  <c r="B2" i="22"/>
  <c r="B2" i="21"/>
  <c r="B2" i="20"/>
  <c r="B2" i="19"/>
  <c r="B2" i="18"/>
  <c r="B2" i="17"/>
  <c r="B2" i="16"/>
  <c r="B2" i="15"/>
  <c r="B2" i="14"/>
  <c r="B2" i="13"/>
  <c r="B2" i="12"/>
  <c r="B2" i="11"/>
  <c r="B2" i="10"/>
  <c r="B2" i="9"/>
  <c r="I34" i="79"/>
  <c r="E30" i="79"/>
  <c r="F30" i="79" s="1"/>
  <c r="D30" i="79"/>
  <c r="E29" i="79"/>
  <c r="F29" i="79" s="1"/>
  <c r="D29" i="79"/>
  <c r="E28" i="79"/>
  <c r="F28" i="79" s="1"/>
  <c r="D28" i="79"/>
  <c r="E27" i="79"/>
  <c r="F27" i="79" s="1"/>
  <c r="D27" i="79"/>
  <c r="E26" i="79"/>
  <c r="F26" i="79" s="1"/>
  <c r="D26" i="79"/>
  <c r="E25" i="79"/>
  <c r="F25" i="79" s="1"/>
  <c r="D25" i="79"/>
  <c r="E24" i="79"/>
  <c r="F24" i="79" s="1"/>
  <c r="D24" i="79"/>
  <c r="E23" i="79"/>
  <c r="F23" i="79" s="1"/>
  <c r="D23" i="79"/>
  <c r="E22" i="79"/>
  <c r="F22" i="79" s="1"/>
  <c r="D22" i="79"/>
  <c r="E21" i="79"/>
  <c r="F21" i="79" s="1"/>
  <c r="D21" i="79"/>
  <c r="E20" i="79"/>
  <c r="F20" i="79" s="1"/>
  <c r="D20" i="79"/>
  <c r="E19" i="79"/>
  <c r="F19" i="79" s="1"/>
  <c r="D19" i="79"/>
  <c r="E18" i="79"/>
  <c r="F18" i="79" s="1"/>
  <c r="D18" i="79"/>
  <c r="E17" i="79"/>
  <c r="F17" i="79" s="1"/>
  <c r="D17" i="79"/>
  <c r="E16" i="79"/>
  <c r="F16" i="79" s="1"/>
  <c r="D16" i="79"/>
  <c r="E15" i="79"/>
  <c r="F15" i="79" s="1"/>
  <c r="D15" i="79"/>
  <c r="E14" i="79"/>
  <c r="F14" i="79" s="1"/>
  <c r="D14" i="79"/>
  <c r="E13" i="79"/>
  <c r="F13" i="79" s="1"/>
  <c r="D13" i="79"/>
  <c r="E12" i="79"/>
  <c r="F12" i="79" s="1"/>
  <c r="D12" i="79"/>
  <c r="E11" i="79"/>
  <c r="F11" i="79" s="1"/>
  <c r="D11" i="79"/>
  <c r="E10" i="79"/>
  <c r="F10" i="79" s="1"/>
  <c r="D10" i="79"/>
  <c r="E9" i="79"/>
  <c r="F9" i="79" s="1"/>
  <c r="D9" i="79"/>
  <c r="E8" i="79"/>
  <c r="F8" i="79" s="1"/>
  <c r="D8" i="79"/>
  <c r="E7" i="79"/>
  <c r="F7" i="79" s="1"/>
  <c r="D7" i="79"/>
  <c r="E6" i="79"/>
  <c r="F6" i="79" s="1"/>
  <c r="D6" i="79"/>
  <c r="I34" i="78"/>
  <c r="E30" i="78"/>
  <c r="F30" i="78" s="1"/>
  <c r="D30" i="78"/>
  <c r="E29" i="78"/>
  <c r="F29" i="78" s="1"/>
  <c r="D29" i="78"/>
  <c r="E28" i="78"/>
  <c r="F28" i="78" s="1"/>
  <c r="D28" i="78"/>
  <c r="E27" i="78"/>
  <c r="F27" i="78" s="1"/>
  <c r="D27" i="78"/>
  <c r="E26" i="78"/>
  <c r="F26" i="78" s="1"/>
  <c r="D26" i="78"/>
  <c r="E25" i="78"/>
  <c r="F25" i="78" s="1"/>
  <c r="D25" i="78"/>
  <c r="E24" i="78"/>
  <c r="F24" i="78" s="1"/>
  <c r="D24" i="78"/>
  <c r="E23" i="78"/>
  <c r="F23" i="78" s="1"/>
  <c r="D23" i="78"/>
  <c r="E22" i="78"/>
  <c r="F22" i="78" s="1"/>
  <c r="D22" i="78"/>
  <c r="E21" i="78"/>
  <c r="F21" i="78" s="1"/>
  <c r="D21" i="78"/>
  <c r="E20" i="78"/>
  <c r="F20" i="78" s="1"/>
  <c r="D20" i="78"/>
  <c r="E19" i="78"/>
  <c r="F19" i="78" s="1"/>
  <c r="D19" i="78"/>
  <c r="E18" i="78"/>
  <c r="F18" i="78" s="1"/>
  <c r="D18" i="78"/>
  <c r="E17" i="78"/>
  <c r="F17" i="78" s="1"/>
  <c r="D17" i="78"/>
  <c r="E16" i="78"/>
  <c r="F16" i="78" s="1"/>
  <c r="D16" i="78"/>
  <c r="E15" i="78"/>
  <c r="F15" i="78" s="1"/>
  <c r="D15" i="78"/>
  <c r="E14" i="78"/>
  <c r="F14" i="78" s="1"/>
  <c r="D14" i="78"/>
  <c r="E13" i="78"/>
  <c r="F13" i="78" s="1"/>
  <c r="D13" i="78"/>
  <c r="E12" i="78"/>
  <c r="F12" i="78" s="1"/>
  <c r="D12" i="78"/>
  <c r="E11" i="78"/>
  <c r="F11" i="78" s="1"/>
  <c r="D11" i="78"/>
  <c r="E10" i="78"/>
  <c r="F10" i="78" s="1"/>
  <c r="D10" i="78"/>
  <c r="E9" i="78"/>
  <c r="F9" i="78" s="1"/>
  <c r="D9" i="78"/>
  <c r="E8" i="78"/>
  <c r="F8" i="78" s="1"/>
  <c r="D8" i="78"/>
  <c r="E7" i="78"/>
  <c r="F7" i="78" s="1"/>
  <c r="D7" i="78"/>
  <c r="E6" i="78"/>
  <c r="F6" i="78" s="1"/>
  <c r="D6" i="78"/>
  <c r="I34" i="77"/>
  <c r="E30" i="77"/>
  <c r="F30" i="77" s="1"/>
  <c r="D30" i="77"/>
  <c r="E29" i="77"/>
  <c r="F29" i="77" s="1"/>
  <c r="D29" i="77"/>
  <c r="E28" i="77"/>
  <c r="F28" i="77" s="1"/>
  <c r="D28" i="77"/>
  <c r="E27" i="77"/>
  <c r="F27" i="77" s="1"/>
  <c r="D27" i="77"/>
  <c r="E26" i="77"/>
  <c r="F26" i="77" s="1"/>
  <c r="D26" i="77"/>
  <c r="E25" i="77"/>
  <c r="F25" i="77" s="1"/>
  <c r="D25" i="77"/>
  <c r="E24" i="77"/>
  <c r="F24" i="77" s="1"/>
  <c r="D24" i="77"/>
  <c r="E23" i="77"/>
  <c r="F23" i="77" s="1"/>
  <c r="D23" i="77"/>
  <c r="E22" i="77"/>
  <c r="F22" i="77" s="1"/>
  <c r="D22" i="77"/>
  <c r="E21" i="77"/>
  <c r="F21" i="77" s="1"/>
  <c r="D21" i="77"/>
  <c r="E20" i="77"/>
  <c r="F20" i="77" s="1"/>
  <c r="D20" i="77"/>
  <c r="E19" i="77"/>
  <c r="F19" i="77" s="1"/>
  <c r="D19" i="77"/>
  <c r="E18" i="77"/>
  <c r="F18" i="77" s="1"/>
  <c r="D18" i="77"/>
  <c r="E17" i="77"/>
  <c r="F17" i="77" s="1"/>
  <c r="D17" i="77"/>
  <c r="E16" i="77"/>
  <c r="F16" i="77" s="1"/>
  <c r="D16" i="77"/>
  <c r="E15" i="77"/>
  <c r="F15" i="77" s="1"/>
  <c r="D15" i="77"/>
  <c r="E14" i="77"/>
  <c r="F14" i="77" s="1"/>
  <c r="D14" i="77"/>
  <c r="E13" i="77"/>
  <c r="F13" i="77" s="1"/>
  <c r="D13" i="77"/>
  <c r="E12" i="77"/>
  <c r="F12" i="77" s="1"/>
  <c r="D12" i="77"/>
  <c r="E11" i="77"/>
  <c r="F11" i="77" s="1"/>
  <c r="D11" i="77"/>
  <c r="E10" i="77"/>
  <c r="F10" i="77" s="1"/>
  <c r="D10" i="77"/>
  <c r="E9" i="77"/>
  <c r="F9" i="77" s="1"/>
  <c r="D9" i="77"/>
  <c r="E8" i="77"/>
  <c r="F8" i="77" s="1"/>
  <c r="D8" i="77"/>
  <c r="E7" i="77"/>
  <c r="F7" i="77" s="1"/>
  <c r="D7" i="77"/>
  <c r="E6" i="77"/>
  <c r="F6" i="77" s="1"/>
  <c r="D6" i="77"/>
  <c r="I34" i="76"/>
  <c r="E30" i="76"/>
  <c r="F30" i="76" s="1"/>
  <c r="D30" i="76"/>
  <c r="E29" i="76"/>
  <c r="F29" i="76" s="1"/>
  <c r="D29" i="76"/>
  <c r="E28" i="76"/>
  <c r="F28" i="76" s="1"/>
  <c r="D28" i="76"/>
  <c r="E27" i="76"/>
  <c r="F27" i="76" s="1"/>
  <c r="D27" i="76"/>
  <c r="E26" i="76"/>
  <c r="F26" i="76" s="1"/>
  <c r="D26" i="76"/>
  <c r="E25" i="76"/>
  <c r="F25" i="76" s="1"/>
  <c r="D25" i="76"/>
  <c r="E24" i="76"/>
  <c r="F24" i="76" s="1"/>
  <c r="D24" i="76"/>
  <c r="E23" i="76"/>
  <c r="F23" i="76" s="1"/>
  <c r="D23" i="76"/>
  <c r="E22" i="76"/>
  <c r="F22" i="76" s="1"/>
  <c r="D22" i="76"/>
  <c r="E21" i="76"/>
  <c r="F21" i="76" s="1"/>
  <c r="D21" i="76"/>
  <c r="E20" i="76"/>
  <c r="F20" i="76" s="1"/>
  <c r="D20" i="76"/>
  <c r="E19" i="76"/>
  <c r="F19" i="76" s="1"/>
  <c r="D19" i="76"/>
  <c r="E18" i="76"/>
  <c r="F18" i="76" s="1"/>
  <c r="D18" i="76"/>
  <c r="E17" i="76"/>
  <c r="F17" i="76" s="1"/>
  <c r="D17" i="76"/>
  <c r="E16" i="76"/>
  <c r="F16" i="76" s="1"/>
  <c r="D16" i="76"/>
  <c r="E15" i="76"/>
  <c r="F15" i="76" s="1"/>
  <c r="D15" i="76"/>
  <c r="E14" i="76"/>
  <c r="F14" i="76" s="1"/>
  <c r="D14" i="76"/>
  <c r="E13" i="76"/>
  <c r="F13" i="76" s="1"/>
  <c r="D13" i="76"/>
  <c r="E12" i="76"/>
  <c r="F12" i="76" s="1"/>
  <c r="D12" i="76"/>
  <c r="E11" i="76"/>
  <c r="F11" i="76" s="1"/>
  <c r="D11" i="76"/>
  <c r="E10" i="76"/>
  <c r="F10" i="76" s="1"/>
  <c r="D10" i="76"/>
  <c r="E9" i="76"/>
  <c r="F9" i="76" s="1"/>
  <c r="D9" i="76"/>
  <c r="E8" i="76"/>
  <c r="F8" i="76" s="1"/>
  <c r="D8" i="76"/>
  <c r="E7" i="76"/>
  <c r="F7" i="76" s="1"/>
  <c r="D7" i="76"/>
  <c r="E6" i="76"/>
  <c r="F6" i="76" s="1"/>
  <c r="D6" i="76"/>
  <c r="I34" i="75"/>
  <c r="E30" i="75"/>
  <c r="F30" i="75" s="1"/>
  <c r="D30" i="75"/>
  <c r="E29" i="75"/>
  <c r="F29" i="75" s="1"/>
  <c r="D29" i="75"/>
  <c r="E28" i="75"/>
  <c r="F28" i="75" s="1"/>
  <c r="D28" i="75"/>
  <c r="E27" i="75"/>
  <c r="F27" i="75" s="1"/>
  <c r="D27" i="75"/>
  <c r="E26" i="75"/>
  <c r="F26" i="75" s="1"/>
  <c r="D26" i="75"/>
  <c r="E25" i="75"/>
  <c r="F25" i="75" s="1"/>
  <c r="D25" i="75"/>
  <c r="E24" i="75"/>
  <c r="F24" i="75" s="1"/>
  <c r="D24" i="75"/>
  <c r="E23" i="75"/>
  <c r="F23" i="75" s="1"/>
  <c r="D23" i="75"/>
  <c r="E22" i="75"/>
  <c r="F22" i="75" s="1"/>
  <c r="D22" i="75"/>
  <c r="E21" i="75"/>
  <c r="F21" i="75" s="1"/>
  <c r="D21" i="75"/>
  <c r="E20" i="75"/>
  <c r="F20" i="75" s="1"/>
  <c r="D20" i="75"/>
  <c r="E19" i="75"/>
  <c r="F19" i="75" s="1"/>
  <c r="D19" i="75"/>
  <c r="E18" i="75"/>
  <c r="F18" i="75" s="1"/>
  <c r="D18" i="75"/>
  <c r="E17" i="75"/>
  <c r="F17" i="75" s="1"/>
  <c r="D17" i="75"/>
  <c r="E16" i="75"/>
  <c r="F16" i="75" s="1"/>
  <c r="D16" i="75"/>
  <c r="E15" i="75"/>
  <c r="F15" i="75" s="1"/>
  <c r="D15" i="75"/>
  <c r="E14" i="75"/>
  <c r="F14" i="75" s="1"/>
  <c r="D14" i="75"/>
  <c r="E13" i="75"/>
  <c r="F13" i="75" s="1"/>
  <c r="D13" i="75"/>
  <c r="E12" i="75"/>
  <c r="F12" i="75" s="1"/>
  <c r="D12" i="75"/>
  <c r="E11" i="75"/>
  <c r="F11" i="75" s="1"/>
  <c r="D11" i="75"/>
  <c r="E10" i="75"/>
  <c r="F10" i="75" s="1"/>
  <c r="D10" i="75"/>
  <c r="E9" i="75"/>
  <c r="F9" i="75" s="1"/>
  <c r="D9" i="75"/>
  <c r="E8" i="75"/>
  <c r="F8" i="75" s="1"/>
  <c r="D8" i="75"/>
  <c r="E7" i="75"/>
  <c r="F7" i="75" s="1"/>
  <c r="D7" i="75"/>
  <c r="E6" i="75"/>
  <c r="F6" i="75" s="1"/>
  <c r="D6" i="75"/>
  <c r="I34" i="74"/>
  <c r="E30" i="74"/>
  <c r="F30" i="74" s="1"/>
  <c r="D30" i="74"/>
  <c r="E29" i="74"/>
  <c r="F29" i="74" s="1"/>
  <c r="D29" i="74"/>
  <c r="E28" i="74"/>
  <c r="F28" i="74" s="1"/>
  <c r="D28" i="74"/>
  <c r="E27" i="74"/>
  <c r="F27" i="74" s="1"/>
  <c r="D27" i="74"/>
  <c r="E26" i="74"/>
  <c r="F26" i="74" s="1"/>
  <c r="D26" i="74"/>
  <c r="E25" i="74"/>
  <c r="F25" i="74" s="1"/>
  <c r="D25" i="74"/>
  <c r="E24" i="74"/>
  <c r="F24" i="74" s="1"/>
  <c r="D24" i="74"/>
  <c r="E23" i="74"/>
  <c r="F23" i="74" s="1"/>
  <c r="D23" i="74"/>
  <c r="E22" i="74"/>
  <c r="F22" i="74" s="1"/>
  <c r="D22" i="74"/>
  <c r="E21" i="74"/>
  <c r="F21" i="74" s="1"/>
  <c r="D21" i="74"/>
  <c r="E20" i="74"/>
  <c r="F20" i="74" s="1"/>
  <c r="D20" i="74"/>
  <c r="E19" i="74"/>
  <c r="F19" i="74" s="1"/>
  <c r="D19" i="74"/>
  <c r="E18" i="74"/>
  <c r="F18" i="74" s="1"/>
  <c r="D18" i="74"/>
  <c r="E17" i="74"/>
  <c r="F17" i="74" s="1"/>
  <c r="D17" i="74"/>
  <c r="E16" i="74"/>
  <c r="F16" i="74" s="1"/>
  <c r="D16" i="74"/>
  <c r="E15" i="74"/>
  <c r="F15" i="74" s="1"/>
  <c r="D15" i="74"/>
  <c r="E14" i="74"/>
  <c r="F14" i="74" s="1"/>
  <c r="D14" i="74"/>
  <c r="E13" i="74"/>
  <c r="F13" i="74" s="1"/>
  <c r="D13" i="74"/>
  <c r="E12" i="74"/>
  <c r="F12" i="74" s="1"/>
  <c r="D12" i="74"/>
  <c r="E11" i="74"/>
  <c r="F11" i="74" s="1"/>
  <c r="D11" i="74"/>
  <c r="E10" i="74"/>
  <c r="F10" i="74" s="1"/>
  <c r="D10" i="74"/>
  <c r="E9" i="74"/>
  <c r="F9" i="74" s="1"/>
  <c r="D9" i="74"/>
  <c r="E8" i="74"/>
  <c r="F8" i="74" s="1"/>
  <c r="D8" i="74"/>
  <c r="E7" i="74"/>
  <c r="F7" i="74" s="1"/>
  <c r="D7" i="74"/>
  <c r="E6" i="74"/>
  <c r="F6" i="74" s="1"/>
  <c r="D6" i="74"/>
  <c r="I34" i="73"/>
  <c r="E30" i="73"/>
  <c r="F30" i="73" s="1"/>
  <c r="D30" i="73"/>
  <c r="E29" i="73"/>
  <c r="F29" i="73" s="1"/>
  <c r="D29" i="73"/>
  <c r="E28" i="73"/>
  <c r="F28" i="73" s="1"/>
  <c r="D28" i="73"/>
  <c r="E27" i="73"/>
  <c r="F27" i="73" s="1"/>
  <c r="D27" i="73"/>
  <c r="E26" i="73"/>
  <c r="F26" i="73" s="1"/>
  <c r="D26" i="73"/>
  <c r="E25" i="73"/>
  <c r="F25" i="73" s="1"/>
  <c r="D25" i="73"/>
  <c r="E24" i="73"/>
  <c r="F24" i="73" s="1"/>
  <c r="D24" i="73"/>
  <c r="E23" i="73"/>
  <c r="F23" i="73" s="1"/>
  <c r="D23" i="73"/>
  <c r="E22" i="73"/>
  <c r="F22" i="73" s="1"/>
  <c r="D22" i="73"/>
  <c r="E21" i="73"/>
  <c r="F21" i="73" s="1"/>
  <c r="D21" i="73"/>
  <c r="E20" i="73"/>
  <c r="F20" i="73" s="1"/>
  <c r="D20" i="73"/>
  <c r="E19" i="73"/>
  <c r="F19" i="73" s="1"/>
  <c r="D19" i="73"/>
  <c r="E18" i="73"/>
  <c r="F18" i="73" s="1"/>
  <c r="D18" i="73"/>
  <c r="E17" i="73"/>
  <c r="F17" i="73" s="1"/>
  <c r="D17" i="73"/>
  <c r="E16" i="73"/>
  <c r="F16" i="73" s="1"/>
  <c r="D16" i="73"/>
  <c r="E15" i="73"/>
  <c r="F15" i="73" s="1"/>
  <c r="D15" i="73"/>
  <c r="E14" i="73"/>
  <c r="F14" i="73" s="1"/>
  <c r="D14" i="73"/>
  <c r="E13" i="73"/>
  <c r="F13" i="73" s="1"/>
  <c r="D13" i="73"/>
  <c r="E12" i="73"/>
  <c r="F12" i="73" s="1"/>
  <c r="D12" i="73"/>
  <c r="E11" i="73"/>
  <c r="F11" i="73" s="1"/>
  <c r="D11" i="73"/>
  <c r="E10" i="73"/>
  <c r="F10" i="73" s="1"/>
  <c r="D10" i="73"/>
  <c r="E9" i="73"/>
  <c r="F9" i="73" s="1"/>
  <c r="D9" i="73"/>
  <c r="E8" i="73"/>
  <c r="F8" i="73" s="1"/>
  <c r="D8" i="73"/>
  <c r="E7" i="73"/>
  <c r="F7" i="73" s="1"/>
  <c r="D7" i="73"/>
  <c r="E6" i="73"/>
  <c r="F6" i="73" s="1"/>
  <c r="D6" i="73"/>
  <c r="I34" i="72"/>
  <c r="E30" i="72"/>
  <c r="F30" i="72" s="1"/>
  <c r="D30" i="72"/>
  <c r="E29" i="72"/>
  <c r="F29" i="72" s="1"/>
  <c r="D29" i="72"/>
  <c r="E28" i="72"/>
  <c r="F28" i="72" s="1"/>
  <c r="D28" i="72"/>
  <c r="E27" i="72"/>
  <c r="F27" i="72" s="1"/>
  <c r="D27" i="72"/>
  <c r="E26" i="72"/>
  <c r="F26" i="72" s="1"/>
  <c r="D26" i="72"/>
  <c r="E25" i="72"/>
  <c r="F25" i="72" s="1"/>
  <c r="D25" i="72"/>
  <c r="E24" i="72"/>
  <c r="F24" i="72" s="1"/>
  <c r="D24" i="72"/>
  <c r="E23" i="72"/>
  <c r="F23" i="72" s="1"/>
  <c r="D23" i="72"/>
  <c r="E22" i="72"/>
  <c r="F22" i="72" s="1"/>
  <c r="D22" i="72"/>
  <c r="E21" i="72"/>
  <c r="F21" i="72" s="1"/>
  <c r="D21" i="72"/>
  <c r="E20" i="72"/>
  <c r="F20" i="72" s="1"/>
  <c r="D20" i="72"/>
  <c r="E19" i="72"/>
  <c r="F19" i="72" s="1"/>
  <c r="D19" i="72"/>
  <c r="E18" i="72"/>
  <c r="F18" i="72" s="1"/>
  <c r="D18" i="72"/>
  <c r="E17" i="72"/>
  <c r="F17" i="72" s="1"/>
  <c r="D17" i="72"/>
  <c r="E16" i="72"/>
  <c r="F16" i="72" s="1"/>
  <c r="D16" i="72"/>
  <c r="E15" i="72"/>
  <c r="F15" i="72" s="1"/>
  <c r="D15" i="72"/>
  <c r="E14" i="72"/>
  <c r="F14" i="72" s="1"/>
  <c r="D14" i="72"/>
  <c r="E13" i="72"/>
  <c r="F13" i="72" s="1"/>
  <c r="D13" i="72"/>
  <c r="E12" i="72"/>
  <c r="F12" i="72" s="1"/>
  <c r="D12" i="72"/>
  <c r="E11" i="72"/>
  <c r="F11" i="72" s="1"/>
  <c r="D11" i="72"/>
  <c r="E10" i="72"/>
  <c r="F10" i="72" s="1"/>
  <c r="D10" i="72"/>
  <c r="E9" i="72"/>
  <c r="F9" i="72" s="1"/>
  <c r="D9" i="72"/>
  <c r="E8" i="72"/>
  <c r="F8" i="72" s="1"/>
  <c r="D8" i="72"/>
  <c r="E7" i="72"/>
  <c r="F7" i="72" s="1"/>
  <c r="D7" i="72"/>
  <c r="E6" i="72"/>
  <c r="F6" i="72" s="1"/>
  <c r="D6" i="72"/>
  <c r="I34" i="71"/>
  <c r="E30" i="71"/>
  <c r="F30" i="71" s="1"/>
  <c r="D30" i="71"/>
  <c r="E29" i="71"/>
  <c r="F29" i="71" s="1"/>
  <c r="D29" i="71"/>
  <c r="E28" i="71"/>
  <c r="F28" i="71" s="1"/>
  <c r="D28" i="71"/>
  <c r="E27" i="71"/>
  <c r="F27" i="71" s="1"/>
  <c r="D27" i="71"/>
  <c r="E26" i="71"/>
  <c r="F26" i="71" s="1"/>
  <c r="D26" i="71"/>
  <c r="E25" i="71"/>
  <c r="F25" i="71" s="1"/>
  <c r="D25" i="71"/>
  <c r="E24" i="71"/>
  <c r="F24" i="71" s="1"/>
  <c r="D24" i="71"/>
  <c r="E23" i="71"/>
  <c r="F23" i="71" s="1"/>
  <c r="D23" i="71"/>
  <c r="E22" i="71"/>
  <c r="F22" i="71" s="1"/>
  <c r="D22" i="71"/>
  <c r="E21" i="71"/>
  <c r="F21" i="71" s="1"/>
  <c r="D21" i="71"/>
  <c r="E20" i="71"/>
  <c r="F20" i="71" s="1"/>
  <c r="D20" i="71"/>
  <c r="E19" i="71"/>
  <c r="F19" i="71" s="1"/>
  <c r="D19" i="71"/>
  <c r="E18" i="71"/>
  <c r="F18" i="71" s="1"/>
  <c r="D18" i="71"/>
  <c r="E17" i="71"/>
  <c r="F17" i="71" s="1"/>
  <c r="D17" i="71"/>
  <c r="E16" i="71"/>
  <c r="F16" i="71" s="1"/>
  <c r="D16" i="71"/>
  <c r="E15" i="71"/>
  <c r="F15" i="71" s="1"/>
  <c r="D15" i="71"/>
  <c r="E14" i="71"/>
  <c r="F14" i="71" s="1"/>
  <c r="D14" i="71"/>
  <c r="E13" i="71"/>
  <c r="F13" i="71" s="1"/>
  <c r="D13" i="71"/>
  <c r="E12" i="71"/>
  <c r="F12" i="71" s="1"/>
  <c r="D12" i="71"/>
  <c r="E11" i="71"/>
  <c r="F11" i="71" s="1"/>
  <c r="D11" i="71"/>
  <c r="E10" i="71"/>
  <c r="F10" i="71" s="1"/>
  <c r="D10" i="71"/>
  <c r="E9" i="71"/>
  <c r="F9" i="71" s="1"/>
  <c r="D9" i="71"/>
  <c r="E8" i="71"/>
  <c r="F8" i="71" s="1"/>
  <c r="D8" i="71"/>
  <c r="E7" i="71"/>
  <c r="F7" i="71" s="1"/>
  <c r="D7" i="71"/>
  <c r="E6" i="71"/>
  <c r="F6" i="71" s="1"/>
  <c r="D6" i="71"/>
  <c r="I34" i="70"/>
  <c r="E30" i="70"/>
  <c r="F30" i="70" s="1"/>
  <c r="D30" i="70"/>
  <c r="E29" i="70"/>
  <c r="F29" i="70" s="1"/>
  <c r="D29" i="70"/>
  <c r="E28" i="70"/>
  <c r="F28" i="70" s="1"/>
  <c r="D28" i="70"/>
  <c r="E27" i="70"/>
  <c r="F27" i="70" s="1"/>
  <c r="D27" i="70"/>
  <c r="E26" i="70"/>
  <c r="F26" i="70" s="1"/>
  <c r="D26" i="70"/>
  <c r="E25" i="70"/>
  <c r="F25" i="70" s="1"/>
  <c r="D25" i="70"/>
  <c r="E24" i="70"/>
  <c r="F24" i="70" s="1"/>
  <c r="D24" i="70"/>
  <c r="E23" i="70"/>
  <c r="F23" i="70" s="1"/>
  <c r="D23" i="70"/>
  <c r="E22" i="70"/>
  <c r="F22" i="70" s="1"/>
  <c r="D22" i="70"/>
  <c r="E21" i="70"/>
  <c r="F21" i="70" s="1"/>
  <c r="D21" i="70"/>
  <c r="E20" i="70"/>
  <c r="F20" i="70" s="1"/>
  <c r="D20" i="70"/>
  <c r="E19" i="70"/>
  <c r="F19" i="70" s="1"/>
  <c r="D19" i="70"/>
  <c r="E18" i="70"/>
  <c r="F18" i="70" s="1"/>
  <c r="D18" i="70"/>
  <c r="E17" i="70"/>
  <c r="F17" i="70" s="1"/>
  <c r="D17" i="70"/>
  <c r="E16" i="70"/>
  <c r="F16" i="70" s="1"/>
  <c r="D16" i="70"/>
  <c r="E15" i="70"/>
  <c r="F15" i="70" s="1"/>
  <c r="D15" i="70"/>
  <c r="E14" i="70"/>
  <c r="F14" i="70" s="1"/>
  <c r="D14" i="70"/>
  <c r="E13" i="70"/>
  <c r="F13" i="70" s="1"/>
  <c r="D13" i="70"/>
  <c r="E12" i="70"/>
  <c r="F12" i="70" s="1"/>
  <c r="D12" i="70"/>
  <c r="E11" i="70"/>
  <c r="F11" i="70" s="1"/>
  <c r="D11" i="70"/>
  <c r="E10" i="70"/>
  <c r="F10" i="70" s="1"/>
  <c r="D10" i="70"/>
  <c r="E9" i="70"/>
  <c r="F9" i="70" s="1"/>
  <c r="D9" i="70"/>
  <c r="E8" i="70"/>
  <c r="F8" i="70" s="1"/>
  <c r="D8" i="70"/>
  <c r="E7" i="70"/>
  <c r="F7" i="70" s="1"/>
  <c r="D7" i="70"/>
  <c r="E6" i="70"/>
  <c r="F6" i="70" s="1"/>
  <c r="D6" i="70"/>
  <c r="I34" i="69"/>
  <c r="E30" i="69"/>
  <c r="F30" i="69" s="1"/>
  <c r="D30" i="69"/>
  <c r="E29" i="69"/>
  <c r="F29" i="69" s="1"/>
  <c r="D29" i="69"/>
  <c r="E28" i="69"/>
  <c r="F28" i="69" s="1"/>
  <c r="D28" i="69"/>
  <c r="E27" i="69"/>
  <c r="F27" i="69" s="1"/>
  <c r="D27" i="69"/>
  <c r="E26" i="69"/>
  <c r="F26" i="69" s="1"/>
  <c r="D26" i="69"/>
  <c r="E25" i="69"/>
  <c r="F25" i="69" s="1"/>
  <c r="D25" i="69"/>
  <c r="E24" i="69"/>
  <c r="F24" i="69" s="1"/>
  <c r="D24" i="69"/>
  <c r="E23" i="69"/>
  <c r="F23" i="69" s="1"/>
  <c r="D23" i="69"/>
  <c r="E22" i="69"/>
  <c r="F22" i="69" s="1"/>
  <c r="D22" i="69"/>
  <c r="E21" i="69"/>
  <c r="F21" i="69" s="1"/>
  <c r="D21" i="69"/>
  <c r="E20" i="69"/>
  <c r="F20" i="69" s="1"/>
  <c r="D20" i="69"/>
  <c r="E19" i="69"/>
  <c r="F19" i="69" s="1"/>
  <c r="D19" i="69"/>
  <c r="E18" i="69"/>
  <c r="F18" i="69" s="1"/>
  <c r="D18" i="69"/>
  <c r="E17" i="69"/>
  <c r="F17" i="69" s="1"/>
  <c r="D17" i="69"/>
  <c r="E16" i="69"/>
  <c r="F16" i="69" s="1"/>
  <c r="D16" i="69"/>
  <c r="E15" i="69"/>
  <c r="F15" i="69" s="1"/>
  <c r="D15" i="69"/>
  <c r="E14" i="69"/>
  <c r="F14" i="69" s="1"/>
  <c r="D14" i="69"/>
  <c r="E13" i="69"/>
  <c r="F13" i="69" s="1"/>
  <c r="D13" i="69"/>
  <c r="E12" i="69"/>
  <c r="F12" i="69" s="1"/>
  <c r="D12" i="69"/>
  <c r="E11" i="69"/>
  <c r="F11" i="69" s="1"/>
  <c r="D11" i="69"/>
  <c r="E10" i="69"/>
  <c r="F10" i="69" s="1"/>
  <c r="D10" i="69"/>
  <c r="E9" i="69"/>
  <c r="F9" i="69" s="1"/>
  <c r="D9" i="69"/>
  <c r="E8" i="69"/>
  <c r="F8" i="69" s="1"/>
  <c r="D8" i="69"/>
  <c r="E7" i="69"/>
  <c r="F7" i="69" s="1"/>
  <c r="D7" i="69"/>
  <c r="E6" i="69"/>
  <c r="F6" i="69" s="1"/>
  <c r="D6" i="69"/>
  <c r="I34" i="68"/>
  <c r="E30" i="68"/>
  <c r="F30" i="68" s="1"/>
  <c r="D30" i="68"/>
  <c r="E29" i="68"/>
  <c r="F29" i="68" s="1"/>
  <c r="D29" i="68"/>
  <c r="E28" i="68"/>
  <c r="F28" i="68" s="1"/>
  <c r="D28" i="68"/>
  <c r="E27" i="68"/>
  <c r="F27" i="68" s="1"/>
  <c r="D27" i="68"/>
  <c r="E26" i="68"/>
  <c r="F26" i="68" s="1"/>
  <c r="D26" i="68"/>
  <c r="E25" i="68"/>
  <c r="F25" i="68" s="1"/>
  <c r="D25" i="68"/>
  <c r="E24" i="68"/>
  <c r="F24" i="68" s="1"/>
  <c r="D24" i="68"/>
  <c r="E23" i="68"/>
  <c r="F23" i="68" s="1"/>
  <c r="D23" i="68"/>
  <c r="E22" i="68"/>
  <c r="F22" i="68" s="1"/>
  <c r="D22" i="68"/>
  <c r="E21" i="68"/>
  <c r="F21" i="68" s="1"/>
  <c r="D21" i="68"/>
  <c r="E20" i="68"/>
  <c r="F20" i="68" s="1"/>
  <c r="D20" i="68"/>
  <c r="E19" i="68"/>
  <c r="F19" i="68" s="1"/>
  <c r="D19" i="68"/>
  <c r="E18" i="68"/>
  <c r="F18" i="68" s="1"/>
  <c r="D18" i="68"/>
  <c r="E17" i="68"/>
  <c r="F17" i="68" s="1"/>
  <c r="D17" i="68"/>
  <c r="E16" i="68"/>
  <c r="F16" i="68" s="1"/>
  <c r="D16" i="68"/>
  <c r="E15" i="68"/>
  <c r="F15" i="68" s="1"/>
  <c r="D15" i="68"/>
  <c r="E14" i="68"/>
  <c r="F14" i="68" s="1"/>
  <c r="D14" i="68"/>
  <c r="E13" i="68"/>
  <c r="F13" i="68" s="1"/>
  <c r="D13" i="68"/>
  <c r="E12" i="68"/>
  <c r="F12" i="68" s="1"/>
  <c r="D12" i="68"/>
  <c r="E11" i="68"/>
  <c r="F11" i="68" s="1"/>
  <c r="D11" i="68"/>
  <c r="E10" i="68"/>
  <c r="F10" i="68" s="1"/>
  <c r="D10" i="68"/>
  <c r="E9" i="68"/>
  <c r="F9" i="68" s="1"/>
  <c r="D9" i="68"/>
  <c r="E8" i="68"/>
  <c r="F8" i="68" s="1"/>
  <c r="D8" i="68"/>
  <c r="E7" i="68"/>
  <c r="F7" i="68" s="1"/>
  <c r="D7" i="68"/>
  <c r="E6" i="68"/>
  <c r="F6" i="68" s="1"/>
  <c r="D6" i="68"/>
  <c r="I34" i="67"/>
  <c r="E30" i="67"/>
  <c r="F30" i="67" s="1"/>
  <c r="D30" i="67"/>
  <c r="E29" i="67"/>
  <c r="F29" i="67" s="1"/>
  <c r="D29" i="67"/>
  <c r="E28" i="67"/>
  <c r="F28" i="67" s="1"/>
  <c r="D28" i="67"/>
  <c r="E27" i="67"/>
  <c r="F27" i="67" s="1"/>
  <c r="D27" i="67"/>
  <c r="E26" i="67"/>
  <c r="F26" i="67" s="1"/>
  <c r="D26" i="67"/>
  <c r="E25" i="67"/>
  <c r="F25" i="67" s="1"/>
  <c r="D25" i="67"/>
  <c r="E24" i="67"/>
  <c r="F24" i="67" s="1"/>
  <c r="D24" i="67"/>
  <c r="E23" i="67"/>
  <c r="F23" i="67" s="1"/>
  <c r="D23" i="67"/>
  <c r="E22" i="67"/>
  <c r="F22" i="67" s="1"/>
  <c r="D22" i="67"/>
  <c r="E21" i="67"/>
  <c r="F21" i="67" s="1"/>
  <c r="D21" i="67"/>
  <c r="E20" i="67"/>
  <c r="F20" i="67" s="1"/>
  <c r="D20" i="67"/>
  <c r="E19" i="67"/>
  <c r="F19" i="67" s="1"/>
  <c r="D19" i="67"/>
  <c r="E18" i="67"/>
  <c r="F18" i="67" s="1"/>
  <c r="D18" i="67"/>
  <c r="E17" i="67"/>
  <c r="F17" i="67" s="1"/>
  <c r="D17" i="67"/>
  <c r="E16" i="67"/>
  <c r="F16" i="67" s="1"/>
  <c r="D16" i="67"/>
  <c r="E15" i="67"/>
  <c r="F15" i="67" s="1"/>
  <c r="D15" i="67"/>
  <c r="E14" i="67"/>
  <c r="F14" i="67" s="1"/>
  <c r="D14" i="67"/>
  <c r="E13" i="67"/>
  <c r="F13" i="67" s="1"/>
  <c r="D13" i="67"/>
  <c r="E12" i="67"/>
  <c r="F12" i="67" s="1"/>
  <c r="D12" i="67"/>
  <c r="E11" i="67"/>
  <c r="F11" i="67" s="1"/>
  <c r="D11" i="67"/>
  <c r="E10" i="67"/>
  <c r="F10" i="67" s="1"/>
  <c r="D10" i="67"/>
  <c r="E9" i="67"/>
  <c r="F9" i="67" s="1"/>
  <c r="D9" i="67"/>
  <c r="E8" i="67"/>
  <c r="F8" i="67" s="1"/>
  <c r="D8" i="67"/>
  <c r="E7" i="67"/>
  <c r="F7" i="67" s="1"/>
  <c r="D7" i="67"/>
  <c r="E6" i="67"/>
  <c r="F6" i="67" s="1"/>
  <c r="D6" i="67"/>
  <c r="I34" i="66"/>
  <c r="E30" i="66"/>
  <c r="F30" i="66" s="1"/>
  <c r="D30" i="66"/>
  <c r="E29" i="66"/>
  <c r="F29" i="66" s="1"/>
  <c r="D29" i="66"/>
  <c r="E28" i="66"/>
  <c r="F28" i="66" s="1"/>
  <c r="D28" i="66"/>
  <c r="E27" i="66"/>
  <c r="F27" i="66" s="1"/>
  <c r="D27" i="66"/>
  <c r="E26" i="66"/>
  <c r="F26" i="66" s="1"/>
  <c r="D26" i="66"/>
  <c r="E25" i="66"/>
  <c r="F25" i="66" s="1"/>
  <c r="D25" i="66"/>
  <c r="E24" i="66"/>
  <c r="F24" i="66" s="1"/>
  <c r="D24" i="66"/>
  <c r="E23" i="66"/>
  <c r="F23" i="66" s="1"/>
  <c r="D23" i="66"/>
  <c r="E22" i="66"/>
  <c r="F22" i="66" s="1"/>
  <c r="D22" i="66"/>
  <c r="E21" i="66"/>
  <c r="F21" i="66" s="1"/>
  <c r="D21" i="66"/>
  <c r="E20" i="66"/>
  <c r="F20" i="66" s="1"/>
  <c r="D20" i="66"/>
  <c r="E19" i="66"/>
  <c r="F19" i="66" s="1"/>
  <c r="D19" i="66"/>
  <c r="E18" i="66"/>
  <c r="F18" i="66" s="1"/>
  <c r="D18" i="66"/>
  <c r="E17" i="66"/>
  <c r="F17" i="66" s="1"/>
  <c r="D17" i="66"/>
  <c r="E16" i="66"/>
  <c r="F16" i="66" s="1"/>
  <c r="D16" i="66"/>
  <c r="E15" i="66"/>
  <c r="F15" i="66" s="1"/>
  <c r="D15" i="66"/>
  <c r="E14" i="66"/>
  <c r="F14" i="66" s="1"/>
  <c r="D14" i="66"/>
  <c r="E13" i="66"/>
  <c r="F13" i="66" s="1"/>
  <c r="D13" i="66"/>
  <c r="E12" i="66"/>
  <c r="F12" i="66" s="1"/>
  <c r="D12" i="66"/>
  <c r="E11" i="66"/>
  <c r="F11" i="66" s="1"/>
  <c r="D11" i="66"/>
  <c r="E10" i="66"/>
  <c r="F10" i="66" s="1"/>
  <c r="D10" i="66"/>
  <c r="E9" i="66"/>
  <c r="F9" i="66" s="1"/>
  <c r="D9" i="66"/>
  <c r="E8" i="66"/>
  <c r="F8" i="66" s="1"/>
  <c r="D8" i="66"/>
  <c r="E7" i="66"/>
  <c r="F7" i="66" s="1"/>
  <c r="D7" i="66"/>
  <c r="E6" i="66"/>
  <c r="F6" i="66" s="1"/>
  <c r="D6" i="66"/>
  <c r="I34" i="65"/>
  <c r="E30" i="65"/>
  <c r="F30" i="65" s="1"/>
  <c r="D30" i="65"/>
  <c r="E29" i="65"/>
  <c r="F29" i="65" s="1"/>
  <c r="D29" i="65"/>
  <c r="E28" i="65"/>
  <c r="F28" i="65" s="1"/>
  <c r="D28" i="65"/>
  <c r="E27" i="65"/>
  <c r="F27" i="65" s="1"/>
  <c r="D27" i="65"/>
  <c r="E26" i="65"/>
  <c r="F26" i="65" s="1"/>
  <c r="D26" i="65"/>
  <c r="E25" i="65"/>
  <c r="F25" i="65" s="1"/>
  <c r="D25" i="65"/>
  <c r="E24" i="65"/>
  <c r="F24" i="65" s="1"/>
  <c r="D24" i="65"/>
  <c r="E23" i="65"/>
  <c r="F23" i="65" s="1"/>
  <c r="D23" i="65"/>
  <c r="E22" i="65"/>
  <c r="F22" i="65" s="1"/>
  <c r="D22" i="65"/>
  <c r="E21" i="65"/>
  <c r="F21" i="65" s="1"/>
  <c r="D21" i="65"/>
  <c r="E20" i="65"/>
  <c r="F20" i="65" s="1"/>
  <c r="D20" i="65"/>
  <c r="E19" i="65"/>
  <c r="F19" i="65" s="1"/>
  <c r="D19" i="65"/>
  <c r="E18" i="65"/>
  <c r="F18" i="65" s="1"/>
  <c r="D18" i="65"/>
  <c r="E17" i="65"/>
  <c r="F17" i="65" s="1"/>
  <c r="D17" i="65"/>
  <c r="E16" i="65"/>
  <c r="F16" i="65" s="1"/>
  <c r="D16" i="65"/>
  <c r="E15" i="65"/>
  <c r="F15" i="65" s="1"/>
  <c r="D15" i="65"/>
  <c r="E14" i="65"/>
  <c r="F14" i="65" s="1"/>
  <c r="D14" i="65"/>
  <c r="E13" i="65"/>
  <c r="F13" i="65" s="1"/>
  <c r="D13" i="65"/>
  <c r="E12" i="65"/>
  <c r="F12" i="65" s="1"/>
  <c r="D12" i="65"/>
  <c r="E11" i="65"/>
  <c r="F11" i="65" s="1"/>
  <c r="D11" i="65"/>
  <c r="E10" i="65"/>
  <c r="F10" i="65" s="1"/>
  <c r="D10" i="65"/>
  <c r="E9" i="65"/>
  <c r="F9" i="65" s="1"/>
  <c r="D9" i="65"/>
  <c r="E8" i="65"/>
  <c r="F8" i="65" s="1"/>
  <c r="D8" i="65"/>
  <c r="E7" i="65"/>
  <c r="F7" i="65" s="1"/>
  <c r="D7" i="65"/>
  <c r="E6" i="65"/>
  <c r="F6" i="65" s="1"/>
  <c r="D6" i="65"/>
  <c r="I34" i="64"/>
  <c r="E30" i="64"/>
  <c r="F30" i="64" s="1"/>
  <c r="D30" i="64"/>
  <c r="E29" i="64"/>
  <c r="F29" i="64" s="1"/>
  <c r="D29" i="64"/>
  <c r="E28" i="64"/>
  <c r="F28" i="64" s="1"/>
  <c r="D28" i="64"/>
  <c r="E27" i="64"/>
  <c r="F27" i="64" s="1"/>
  <c r="D27" i="64"/>
  <c r="E26" i="64"/>
  <c r="F26" i="64" s="1"/>
  <c r="D26" i="64"/>
  <c r="E25" i="64"/>
  <c r="F25" i="64" s="1"/>
  <c r="D25" i="64"/>
  <c r="E24" i="64"/>
  <c r="F24" i="64" s="1"/>
  <c r="D24" i="64"/>
  <c r="E23" i="64"/>
  <c r="F23" i="64" s="1"/>
  <c r="D23" i="64"/>
  <c r="E22" i="64"/>
  <c r="F22" i="64" s="1"/>
  <c r="D22" i="64"/>
  <c r="E21" i="64"/>
  <c r="F21" i="64" s="1"/>
  <c r="D21" i="64"/>
  <c r="E20" i="64"/>
  <c r="F20" i="64" s="1"/>
  <c r="D20" i="64"/>
  <c r="E19" i="64"/>
  <c r="F19" i="64" s="1"/>
  <c r="D19" i="64"/>
  <c r="E18" i="64"/>
  <c r="F18" i="64" s="1"/>
  <c r="D18" i="64"/>
  <c r="E17" i="64"/>
  <c r="F17" i="64" s="1"/>
  <c r="D17" i="64"/>
  <c r="E16" i="64"/>
  <c r="F16" i="64" s="1"/>
  <c r="D16" i="64"/>
  <c r="E15" i="64"/>
  <c r="F15" i="64" s="1"/>
  <c r="D15" i="64"/>
  <c r="E14" i="64"/>
  <c r="F14" i="64" s="1"/>
  <c r="D14" i="64"/>
  <c r="E13" i="64"/>
  <c r="F13" i="64" s="1"/>
  <c r="D13" i="64"/>
  <c r="E12" i="64"/>
  <c r="F12" i="64" s="1"/>
  <c r="D12" i="64"/>
  <c r="E11" i="64"/>
  <c r="F11" i="64" s="1"/>
  <c r="D11" i="64"/>
  <c r="E10" i="64"/>
  <c r="F10" i="64" s="1"/>
  <c r="D10" i="64"/>
  <c r="E9" i="64"/>
  <c r="F9" i="64" s="1"/>
  <c r="D9" i="64"/>
  <c r="E8" i="64"/>
  <c r="F8" i="64" s="1"/>
  <c r="D8" i="64"/>
  <c r="E7" i="64"/>
  <c r="F7" i="64" s="1"/>
  <c r="D7" i="64"/>
  <c r="E6" i="64"/>
  <c r="F6" i="64" s="1"/>
  <c r="D6" i="64"/>
  <c r="I34" i="63"/>
  <c r="E30" i="63"/>
  <c r="F30" i="63" s="1"/>
  <c r="D30" i="63"/>
  <c r="E29" i="63"/>
  <c r="F29" i="63" s="1"/>
  <c r="D29" i="63"/>
  <c r="E28" i="63"/>
  <c r="F28" i="63" s="1"/>
  <c r="D28" i="63"/>
  <c r="E27" i="63"/>
  <c r="F27" i="63" s="1"/>
  <c r="D27" i="63"/>
  <c r="E26" i="63"/>
  <c r="F26" i="63" s="1"/>
  <c r="D26" i="63"/>
  <c r="E25" i="63"/>
  <c r="F25" i="63" s="1"/>
  <c r="D25" i="63"/>
  <c r="E24" i="63"/>
  <c r="F24" i="63" s="1"/>
  <c r="D24" i="63"/>
  <c r="E23" i="63"/>
  <c r="F23" i="63" s="1"/>
  <c r="D23" i="63"/>
  <c r="E22" i="63"/>
  <c r="F22" i="63" s="1"/>
  <c r="D22" i="63"/>
  <c r="E21" i="63"/>
  <c r="F21" i="63" s="1"/>
  <c r="D21" i="63"/>
  <c r="E20" i="63"/>
  <c r="F20" i="63" s="1"/>
  <c r="D20" i="63"/>
  <c r="E19" i="63"/>
  <c r="F19" i="63" s="1"/>
  <c r="D19" i="63"/>
  <c r="E18" i="63"/>
  <c r="F18" i="63" s="1"/>
  <c r="D18" i="63"/>
  <c r="E17" i="63"/>
  <c r="F17" i="63" s="1"/>
  <c r="D17" i="63"/>
  <c r="E16" i="63"/>
  <c r="F16" i="63" s="1"/>
  <c r="D16" i="63"/>
  <c r="E15" i="63"/>
  <c r="F15" i="63" s="1"/>
  <c r="D15" i="63"/>
  <c r="E14" i="63"/>
  <c r="F14" i="63" s="1"/>
  <c r="D14" i="63"/>
  <c r="E13" i="63"/>
  <c r="F13" i="63" s="1"/>
  <c r="D13" i="63"/>
  <c r="E12" i="63"/>
  <c r="F12" i="63" s="1"/>
  <c r="D12" i="63"/>
  <c r="E11" i="63"/>
  <c r="F11" i="63" s="1"/>
  <c r="D11" i="63"/>
  <c r="E10" i="63"/>
  <c r="F10" i="63" s="1"/>
  <c r="D10" i="63"/>
  <c r="E9" i="63"/>
  <c r="F9" i="63" s="1"/>
  <c r="D9" i="63"/>
  <c r="E8" i="63"/>
  <c r="F8" i="63" s="1"/>
  <c r="D8" i="63"/>
  <c r="E7" i="63"/>
  <c r="F7" i="63" s="1"/>
  <c r="D7" i="63"/>
  <c r="E6" i="63"/>
  <c r="F6" i="63" s="1"/>
  <c r="D6" i="63"/>
  <c r="I34" i="62"/>
  <c r="E30" i="62"/>
  <c r="F30" i="62" s="1"/>
  <c r="D30" i="62"/>
  <c r="E29" i="62"/>
  <c r="F29" i="62" s="1"/>
  <c r="D29" i="62"/>
  <c r="E28" i="62"/>
  <c r="F28" i="62" s="1"/>
  <c r="D28" i="62"/>
  <c r="E27" i="62"/>
  <c r="F27" i="62" s="1"/>
  <c r="D27" i="62"/>
  <c r="E26" i="62"/>
  <c r="F26" i="62" s="1"/>
  <c r="D26" i="62"/>
  <c r="E25" i="62"/>
  <c r="F25" i="62" s="1"/>
  <c r="D25" i="62"/>
  <c r="E24" i="62"/>
  <c r="F24" i="62" s="1"/>
  <c r="D24" i="62"/>
  <c r="E23" i="62"/>
  <c r="F23" i="62" s="1"/>
  <c r="D23" i="62"/>
  <c r="E22" i="62"/>
  <c r="F22" i="62" s="1"/>
  <c r="D22" i="62"/>
  <c r="E21" i="62"/>
  <c r="F21" i="62" s="1"/>
  <c r="D21" i="62"/>
  <c r="E20" i="62"/>
  <c r="F20" i="62" s="1"/>
  <c r="D20" i="62"/>
  <c r="E19" i="62"/>
  <c r="F19" i="62" s="1"/>
  <c r="D19" i="62"/>
  <c r="E18" i="62"/>
  <c r="F18" i="62" s="1"/>
  <c r="D18" i="62"/>
  <c r="E17" i="62"/>
  <c r="F17" i="62" s="1"/>
  <c r="D17" i="62"/>
  <c r="E16" i="62"/>
  <c r="F16" i="62" s="1"/>
  <c r="D16" i="62"/>
  <c r="E15" i="62"/>
  <c r="F15" i="62" s="1"/>
  <c r="D15" i="62"/>
  <c r="E14" i="62"/>
  <c r="F14" i="62" s="1"/>
  <c r="D14" i="62"/>
  <c r="E13" i="62"/>
  <c r="F13" i="62" s="1"/>
  <c r="D13" i="62"/>
  <c r="E12" i="62"/>
  <c r="F12" i="62" s="1"/>
  <c r="D12" i="62"/>
  <c r="E11" i="62"/>
  <c r="F11" i="62" s="1"/>
  <c r="D11" i="62"/>
  <c r="E10" i="62"/>
  <c r="F10" i="62" s="1"/>
  <c r="D10" i="62"/>
  <c r="E9" i="62"/>
  <c r="F9" i="62" s="1"/>
  <c r="D9" i="62"/>
  <c r="E8" i="62"/>
  <c r="F8" i="62" s="1"/>
  <c r="D8" i="62"/>
  <c r="E7" i="62"/>
  <c r="F7" i="62" s="1"/>
  <c r="D7" i="62"/>
  <c r="E6" i="62"/>
  <c r="F6" i="62" s="1"/>
  <c r="D6" i="62"/>
  <c r="I34" i="61"/>
  <c r="E30" i="61"/>
  <c r="F30" i="61" s="1"/>
  <c r="D30" i="61"/>
  <c r="E29" i="61"/>
  <c r="F29" i="61" s="1"/>
  <c r="D29" i="61"/>
  <c r="E28" i="61"/>
  <c r="F28" i="61" s="1"/>
  <c r="D28" i="61"/>
  <c r="E27" i="61"/>
  <c r="F27" i="61" s="1"/>
  <c r="D27" i="61"/>
  <c r="E26" i="61"/>
  <c r="F26" i="61" s="1"/>
  <c r="D26" i="61"/>
  <c r="E25" i="61"/>
  <c r="F25" i="61" s="1"/>
  <c r="D25" i="61"/>
  <c r="E24" i="61"/>
  <c r="F24" i="61" s="1"/>
  <c r="D24" i="61"/>
  <c r="E23" i="61"/>
  <c r="F23" i="61" s="1"/>
  <c r="D23" i="61"/>
  <c r="E22" i="61"/>
  <c r="F22" i="61" s="1"/>
  <c r="D22" i="61"/>
  <c r="E21" i="61"/>
  <c r="F21" i="61" s="1"/>
  <c r="D21" i="61"/>
  <c r="E20" i="61"/>
  <c r="F20" i="61" s="1"/>
  <c r="D20" i="61"/>
  <c r="E19" i="61"/>
  <c r="F19" i="61" s="1"/>
  <c r="D19" i="61"/>
  <c r="E18" i="61"/>
  <c r="F18" i="61" s="1"/>
  <c r="D18" i="61"/>
  <c r="E17" i="61"/>
  <c r="F17" i="61" s="1"/>
  <c r="D17" i="61"/>
  <c r="E16" i="61"/>
  <c r="F16" i="61" s="1"/>
  <c r="D16" i="61"/>
  <c r="E15" i="61"/>
  <c r="F15" i="61" s="1"/>
  <c r="D15" i="61"/>
  <c r="E14" i="61"/>
  <c r="F14" i="61" s="1"/>
  <c r="D14" i="61"/>
  <c r="E13" i="61"/>
  <c r="F13" i="61" s="1"/>
  <c r="D13" i="61"/>
  <c r="E12" i="61"/>
  <c r="F12" i="61" s="1"/>
  <c r="D12" i="61"/>
  <c r="E11" i="61"/>
  <c r="F11" i="61" s="1"/>
  <c r="D11" i="61"/>
  <c r="E10" i="61"/>
  <c r="F10" i="61" s="1"/>
  <c r="D10" i="61"/>
  <c r="E9" i="61"/>
  <c r="F9" i="61" s="1"/>
  <c r="D9" i="61"/>
  <c r="E8" i="61"/>
  <c r="F8" i="61" s="1"/>
  <c r="D8" i="61"/>
  <c r="E7" i="61"/>
  <c r="F7" i="61" s="1"/>
  <c r="D7" i="61"/>
  <c r="E6" i="61"/>
  <c r="F6" i="61" s="1"/>
  <c r="D6" i="61"/>
  <c r="I34" i="60"/>
  <c r="E30" i="60"/>
  <c r="F30" i="60" s="1"/>
  <c r="D30" i="60"/>
  <c r="E29" i="60"/>
  <c r="F29" i="60" s="1"/>
  <c r="D29" i="60"/>
  <c r="E28" i="60"/>
  <c r="F28" i="60" s="1"/>
  <c r="D28" i="60"/>
  <c r="E27" i="60"/>
  <c r="F27" i="60" s="1"/>
  <c r="D27" i="60"/>
  <c r="E26" i="60"/>
  <c r="F26" i="60" s="1"/>
  <c r="D26" i="60"/>
  <c r="E25" i="60"/>
  <c r="F25" i="60" s="1"/>
  <c r="D25" i="60"/>
  <c r="E24" i="60"/>
  <c r="F24" i="60" s="1"/>
  <c r="D24" i="60"/>
  <c r="E23" i="60"/>
  <c r="F23" i="60" s="1"/>
  <c r="D23" i="60"/>
  <c r="E22" i="60"/>
  <c r="F22" i="60" s="1"/>
  <c r="D22" i="60"/>
  <c r="E21" i="60"/>
  <c r="F21" i="60" s="1"/>
  <c r="D21" i="60"/>
  <c r="E20" i="60"/>
  <c r="F20" i="60" s="1"/>
  <c r="D20" i="60"/>
  <c r="E19" i="60"/>
  <c r="F19" i="60" s="1"/>
  <c r="D19" i="60"/>
  <c r="E18" i="60"/>
  <c r="F18" i="60" s="1"/>
  <c r="D18" i="60"/>
  <c r="E17" i="60"/>
  <c r="F17" i="60" s="1"/>
  <c r="D17" i="60"/>
  <c r="E16" i="60"/>
  <c r="F16" i="60" s="1"/>
  <c r="D16" i="60"/>
  <c r="E15" i="60"/>
  <c r="F15" i="60" s="1"/>
  <c r="D15" i="60"/>
  <c r="E14" i="60"/>
  <c r="F14" i="60" s="1"/>
  <c r="D14" i="60"/>
  <c r="E13" i="60"/>
  <c r="F13" i="60" s="1"/>
  <c r="D13" i="60"/>
  <c r="E12" i="60"/>
  <c r="F12" i="60" s="1"/>
  <c r="D12" i="60"/>
  <c r="E11" i="60"/>
  <c r="F11" i="60" s="1"/>
  <c r="D11" i="60"/>
  <c r="E10" i="60"/>
  <c r="F10" i="60" s="1"/>
  <c r="D10" i="60"/>
  <c r="E9" i="60"/>
  <c r="F9" i="60" s="1"/>
  <c r="D9" i="60"/>
  <c r="E8" i="60"/>
  <c r="F8" i="60" s="1"/>
  <c r="D8" i="60"/>
  <c r="E7" i="60"/>
  <c r="F7" i="60" s="1"/>
  <c r="D7" i="60"/>
  <c r="E6" i="60"/>
  <c r="F6" i="60" s="1"/>
  <c r="D6" i="60"/>
  <c r="I34" i="59"/>
  <c r="E30" i="59"/>
  <c r="F30" i="59" s="1"/>
  <c r="D30" i="59"/>
  <c r="E29" i="59"/>
  <c r="F29" i="59" s="1"/>
  <c r="D29" i="59"/>
  <c r="E28" i="59"/>
  <c r="F28" i="59" s="1"/>
  <c r="D28" i="59"/>
  <c r="E27" i="59"/>
  <c r="F27" i="59" s="1"/>
  <c r="D27" i="59"/>
  <c r="E26" i="59"/>
  <c r="F26" i="59" s="1"/>
  <c r="D26" i="59"/>
  <c r="E25" i="59"/>
  <c r="F25" i="59" s="1"/>
  <c r="D25" i="59"/>
  <c r="E24" i="59"/>
  <c r="F24" i="59" s="1"/>
  <c r="D24" i="59"/>
  <c r="E23" i="59"/>
  <c r="F23" i="59" s="1"/>
  <c r="D23" i="59"/>
  <c r="E22" i="59"/>
  <c r="F22" i="59" s="1"/>
  <c r="D22" i="59"/>
  <c r="E21" i="59"/>
  <c r="F21" i="59" s="1"/>
  <c r="D21" i="59"/>
  <c r="E20" i="59"/>
  <c r="F20" i="59" s="1"/>
  <c r="D20" i="59"/>
  <c r="E19" i="59"/>
  <c r="F19" i="59" s="1"/>
  <c r="D19" i="59"/>
  <c r="E18" i="59"/>
  <c r="F18" i="59" s="1"/>
  <c r="D18" i="59"/>
  <c r="E17" i="59"/>
  <c r="F17" i="59" s="1"/>
  <c r="D17" i="59"/>
  <c r="E16" i="59"/>
  <c r="F16" i="59" s="1"/>
  <c r="D16" i="59"/>
  <c r="E15" i="59"/>
  <c r="F15" i="59" s="1"/>
  <c r="D15" i="59"/>
  <c r="E14" i="59"/>
  <c r="F14" i="59" s="1"/>
  <c r="D14" i="59"/>
  <c r="E13" i="59"/>
  <c r="F13" i="59" s="1"/>
  <c r="D13" i="59"/>
  <c r="E12" i="59"/>
  <c r="F12" i="59" s="1"/>
  <c r="D12" i="59"/>
  <c r="E11" i="59"/>
  <c r="F11" i="59" s="1"/>
  <c r="D11" i="59"/>
  <c r="E10" i="59"/>
  <c r="F10" i="59" s="1"/>
  <c r="D10" i="59"/>
  <c r="E9" i="59"/>
  <c r="F9" i="59" s="1"/>
  <c r="D9" i="59"/>
  <c r="E8" i="59"/>
  <c r="F8" i="59" s="1"/>
  <c r="D8" i="59"/>
  <c r="E7" i="59"/>
  <c r="F7" i="59" s="1"/>
  <c r="D7" i="59"/>
  <c r="E6" i="59"/>
  <c r="F6" i="59" s="1"/>
  <c r="D6" i="59"/>
  <c r="I34" i="58"/>
  <c r="E30" i="58"/>
  <c r="F30" i="58" s="1"/>
  <c r="D30" i="58"/>
  <c r="E29" i="58"/>
  <c r="F29" i="58" s="1"/>
  <c r="D29" i="58"/>
  <c r="E28" i="58"/>
  <c r="F28" i="58" s="1"/>
  <c r="D28" i="58"/>
  <c r="E27" i="58"/>
  <c r="F27" i="58" s="1"/>
  <c r="D27" i="58"/>
  <c r="E26" i="58"/>
  <c r="F26" i="58" s="1"/>
  <c r="D26" i="58"/>
  <c r="E25" i="58"/>
  <c r="F25" i="58" s="1"/>
  <c r="D25" i="58"/>
  <c r="E24" i="58"/>
  <c r="F24" i="58" s="1"/>
  <c r="D24" i="58"/>
  <c r="E23" i="58"/>
  <c r="F23" i="58" s="1"/>
  <c r="D23" i="58"/>
  <c r="E22" i="58"/>
  <c r="F22" i="58" s="1"/>
  <c r="D22" i="58"/>
  <c r="E21" i="58"/>
  <c r="F21" i="58" s="1"/>
  <c r="D21" i="58"/>
  <c r="E20" i="58"/>
  <c r="F20" i="58" s="1"/>
  <c r="D20" i="58"/>
  <c r="E19" i="58"/>
  <c r="F19" i="58" s="1"/>
  <c r="D19" i="58"/>
  <c r="E18" i="58"/>
  <c r="F18" i="58" s="1"/>
  <c r="D18" i="58"/>
  <c r="E17" i="58"/>
  <c r="F17" i="58" s="1"/>
  <c r="D17" i="58"/>
  <c r="E16" i="58"/>
  <c r="F16" i="58" s="1"/>
  <c r="D16" i="58"/>
  <c r="E15" i="58"/>
  <c r="F15" i="58" s="1"/>
  <c r="D15" i="58"/>
  <c r="E14" i="58"/>
  <c r="F14" i="58" s="1"/>
  <c r="D14" i="58"/>
  <c r="E13" i="58"/>
  <c r="F13" i="58" s="1"/>
  <c r="D13" i="58"/>
  <c r="E12" i="58"/>
  <c r="F12" i="58" s="1"/>
  <c r="D12" i="58"/>
  <c r="E11" i="58"/>
  <c r="F11" i="58" s="1"/>
  <c r="D11" i="58"/>
  <c r="E10" i="58"/>
  <c r="F10" i="58" s="1"/>
  <c r="D10" i="58"/>
  <c r="E9" i="58"/>
  <c r="F9" i="58" s="1"/>
  <c r="D9" i="58"/>
  <c r="E8" i="58"/>
  <c r="F8" i="58" s="1"/>
  <c r="D8" i="58"/>
  <c r="E7" i="58"/>
  <c r="F7" i="58" s="1"/>
  <c r="D7" i="58"/>
  <c r="E6" i="58"/>
  <c r="F6" i="58" s="1"/>
  <c r="D6" i="58"/>
  <c r="I34" i="57"/>
  <c r="E30" i="57"/>
  <c r="F30" i="57" s="1"/>
  <c r="D30" i="57"/>
  <c r="E29" i="57"/>
  <c r="F29" i="57" s="1"/>
  <c r="D29" i="57"/>
  <c r="E28" i="57"/>
  <c r="F28" i="57" s="1"/>
  <c r="D28" i="57"/>
  <c r="E27" i="57"/>
  <c r="F27" i="57" s="1"/>
  <c r="D27" i="57"/>
  <c r="E26" i="57"/>
  <c r="F26" i="57" s="1"/>
  <c r="D26" i="57"/>
  <c r="E25" i="57"/>
  <c r="F25" i="57" s="1"/>
  <c r="D25" i="57"/>
  <c r="E24" i="57"/>
  <c r="F24" i="57" s="1"/>
  <c r="D24" i="57"/>
  <c r="E23" i="57"/>
  <c r="F23" i="57" s="1"/>
  <c r="D23" i="57"/>
  <c r="E22" i="57"/>
  <c r="F22" i="57" s="1"/>
  <c r="D22" i="57"/>
  <c r="E21" i="57"/>
  <c r="F21" i="57" s="1"/>
  <c r="D21" i="57"/>
  <c r="E20" i="57"/>
  <c r="F20" i="57" s="1"/>
  <c r="D20" i="57"/>
  <c r="E19" i="57"/>
  <c r="F19" i="57" s="1"/>
  <c r="D19" i="57"/>
  <c r="E18" i="57"/>
  <c r="F18" i="57" s="1"/>
  <c r="D18" i="57"/>
  <c r="E17" i="57"/>
  <c r="F17" i="57" s="1"/>
  <c r="D17" i="57"/>
  <c r="E16" i="57"/>
  <c r="F16" i="57" s="1"/>
  <c r="D16" i="57"/>
  <c r="E15" i="57"/>
  <c r="F15" i="57" s="1"/>
  <c r="D15" i="57"/>
  <c r="E14" i="57"/>
  <c r="F14" i="57" s="1"/>
  <c r="D14" i="57"/>
  <c r="E13" i="57"/>
  <c r="F13" i="57" s="1"/>
  <c r="D13" i="57"/>
  <c r="E12" i="57"/>
  <c r="F12" i="57" s="1"/>
  <c r="D12" i="57"/>
  <c r="E11" i="57"/>
  <c r="F11" i="57" s="1"/>
  <c r="D11" i="57"/>
  <c r="E10" i="57"/>
  <c r="F10" i="57" s="1"/>
  <c r="D10" i="57"/>
  <c r="E9" i="57"/>
  <c r="F9" i="57" s="1"/>
  <c r="D9" i="57"/>
  <c r="E8" i="57"/>
  <c r="F8" i="57" s="1"/>
  <c r="D8" i="57"/>
  <c r="E7" i="57"/>
  <c r="F7" i="57" s="1"/>
  <c r="D7" i="57"/>
  <c r="E6" i="57"/>
  <c r="F6" i="57" s="1"/>
  <c r="D6" i="57"/>
  <c r="I34" i="56"/>
  <c r="E30" i="56"/>
  <c r="F30" i="56" s="1"/>
  <c r="D30" i="56"/>
  <c r="E29" i="56"/>
  <c r="F29" i="56" s="1"/>
  <c r="D29" i="56"/>
  <c r="E28" i="56"/>
  <c r="F28" i="56" s="1"/>
  <c r="D28" i="56"/>
  <c r="E27" i="56"/>
  <c r="F27" i="56" s="1"/>
  <c r="D27" i="56"/>
  <c r="E26" i="56"/>
  <c r="F26" i="56" s="1"/>
  <c r="D26" i="56"/>
  <c r="E25" i="56"/>
  <c r="F25" i="56" s="1"/>
  <c r="D25" i="56"/>
  <c r="E24" i="56"/>
  <c r="F24" i="56" s="1"/>
  <c r="D24" i="56"/>
  <c r="E23" i="56"/>
  <c r="F23" i="56" s="1"/>
  <c r="D23" i="56"/>
  <c r="E22" i="56"/>
  <c r="F22" i="56" s="1"/>
  <c r="D22" i="56"/>
  <c r="E21" i="56"/>
  <c r="F21" i="56" s="1"/>
  <c r="D21" i="56"/>
  <c r="E20" i="56"/>
  <c r="F20" i="56" s="1"/>
  <c r="D20" i="56"/>
  <c r="E19" i="56"/>
  <c r="F19" i="56" s="1"/>
  <c r="D19" i="56"/>
  <c r="E18" i="56"/>
  <c r="F18" i="56" s="1"/>
  <c r="D18" i="56"/>
  <c r="E17" i="56"/>
  <c r="F17" i="56" s="1"/>
  <c r="D17" i="56"/>
  <c r="E16" i="56"/>
  <c r="F16" i="56" s="1"/>
  <c r="D16" i="56"/>
  <c r="E15" i="56"/>
  <c r="F15" i="56" s="1"/>
  <c r="D15" i="56"/>
  <c r="E14" i="56"/>
  <c r="F14" i="56" s="1"/>
  <c r="D14" i="56"/>
  <c r="E13" i="56"/>
  <c r="F13" i="56" s="1"/>
  <c r="D13" i="56"/>
  <c r="E12" i="56"/>
  <c r="F12" i="56" s="1"/>
  <c r="D12" i="56"/>
  <c r="E11" i="56"/>
  <c r="F11" i="56" s="1"/>
  <c r="D11" i="56"/>
  <c r="E10" i="56"/>
  <c r="F10" i="56" s="1"/>
  <c r="D10" i="56"/>
  <c r="E9" i="56"/>
  <c r="F9" i="56" s="1"/>
  <c r="D9" i="56"/>
  <c r="E8" i="56"/>
  <c r="F8" i="56" s="1"/>
  <c r="D8" i="56"/>
  <c r="E7" i="56"/>
  <c r="F7" i="56" s="1"/>
  <c r="D7" i="56"/>
  <c r="E6" i="56"/>
  <c r="F6" i="56" s="1"/>
  <c r="D6" i="56"/>
  <c r="I34" i="55"/>
  <c r="E30" i="55"/>
  <c r="F30" i="55" s="1"/>
  <c r="D30" i="55"/>
  <c r="E29" i="55"/>
  <c r="F29" i="55" s="1"/>
  <c r="D29" i="55"/>
  <c r="E28" i="55"/>
  <c r="F28" i="55" s="1"/>
  <c r="D28" i="55"/>
  <c r="E27" i="55"/>
  <c r="F27" i="55" s="1"/>
  <c r="D27" i="55"/>
  <c r="E26" i="55"/>
  <c r="F26" i="55" s="1"/>
  <c r="D26" i="55"/>
  <c r="E25" i="55"/>
  <c r="F25" i="55" s="1"/>
  <c r="D25" i="55"/>
  <c r="E24" i="55"/>
  <c r="F24" i="55" s="1"/>
  <c r="D24" i="55"/>
  <c r="E23" i="55"/>
  <c r="F23" i="55" s="1"/>
  <c r="D23" i="55"/>
  <c r="E22" i="55"/>
  <c r="F22" i="55" s="1"/>
  <c r="D22" i="55"/>
  <c r="E21" i="55"/>
  <c r="F21" i="55" s="1"/>
  <c r="D21" i="55"/>
  <c r="E20" i="55"/>
  <c r="F20" i="55" s="1"/>
  <c r="D20" i="55"/>
  <c r="E19" i="55"/>
  <c r="F19" i="55" s="1"/>
  <c r="D19" i="55"/>
  <c r="E18" i="55"/>
  <c r="F18" i="55" s="1"/>
  <c r="D18" i="55"/>
  <c r="E17" i="55"/>
  <c r="F17" i="55" s="1"/>
  <c r="D17" i="55"/>
  <c r="E16" i="55"/>
  <c r="F16" i="55" s="1"/>
  <c r="D16" i="55"/>
  <c r="E15" i="55"/>
  <c r="F15" i="55" s="1"/>
  <c r="D15" i="55"/>
  <c r="E14" i="55"/>
  <c r="F14" i="55" s="1"/>
  <c r="D14" i="55"/>
  <c r="E13" i="55"/>
  <c r="F13" i="55" s="1"/>
  <c r="D13" i="55"/>
  <c r="E12" i="55"/>
  <c r="F12" i="55" s="1"/>
  <c r="D12" i="55"/>
  <c r="E11" i="55"/>
  <c r="F11" i="55" s="1"/>
  <c r="D11" i="55"/>
  <c r="E10" i="55"/>
  <c r="F10" i="55" s="1"/>
  <c r="D10" i="55"/>
  <c r="E9" i="55"/>
  <c r="F9" i="55" s="1"/>
  <c r="D9" i="55"/>
  <c r="E8" i="55"/>
  <c r="F8" i="55" s="1"/>
  <c r="D8" i="55"/>
  <c r="E7" i="55"/>
  <c r="F7" i="55" s="1"/>
  <c r="D7" i="55"/>
  <c r="E6" i="55"/>
  <c r="F6" i="55" s="1"/>
  <c r="D6" i="55"/>
  <c r="I34" i="54"/>
  <c r="E30" i="54"/>
  <c r="F30" i="54" s="1"/>
  <c r="D30" i="54"/>
  <c r="E29" i="54"/>
  <c r="F29" i="54" s="1"/>
  <c r="D29" i="54"/>
  <c r="E28" i="54"/>
  <c r="F28" i="54" s="1"/>
  <c r="D28" i="54"/>
  <c r="E27" i="54"/>
  <c r="F27" i="54" s="1"/>
  <c r="D27" i="54"/>
  <c r="E26" i="54"/>
  <c r="F26" i="54" s="1"/>
  <c r="D26" i="54"/>
  <c r="E25" i="54"/>
  <c r="F25" i="54" s="1"/>
  <c r="D25" i="54"/>
  <c r="E24" i="54"/>
  <c r="F24" i="54" s="1"/>
  <c r="D24" i="54"/>
  <c r="E23" i="54"/>
  <c r="F23" i="54" s="1"/>
  <c r="D23" i="54"/>
  <c r="E22" i="54"/>
  <c r="F22" i="54" s="1"/>
  <c r="D22" i="54"/>
  <c r="E21" i="54"/>
  <c r="F21" i="54" s="1"/>
  <c r="D21" i="54"/>
  <c r="E20" i="54"/>
  <c r="F20" i="54" s="1"/>
  <c r="D20" i="54"/>
  <c r="E19" i="54"/>
  <c r="F19" i="54" s="1"/>
  <c r="D19" i="54"/>
  <c r="E18" i="54"/>
  <c r="F18" i="54" s="1"/>
  <c r="D18" i="54"/>
  <c r="E17" i="54"/>
  <c r="F17" i="54" s="1"/>
  <c r="D17" i="54"/>
  <c r="E16" i="54"/>
  <c r="F16" i="54" s="1"/>
  <c r="D16" i="54"/>
  <c r="E15" i="54"/>
  <c r="F15" i="54" s="1"/>
  <c r="D15" i="54"/>
  <c r="E14" i="54"/>
  <c r="F14" i="54" s="1"/>
  <c r="D14" i="54"/>
  <c r="E13" i="54"/>
  <c r="F13" i="54" s="1"/>
  <c r="D13" i="54"/>
  <c r="E12" i="54"/>
  <c r="F12" i="54" s="1"/>
  <c r="D12" i="54"/>
  <c r="E11" i="54"/>
  <c r="F11" i="54" s="1"/>
  <c r="D11" i="54"/>
  <c r="E10" i="54"/>
  <c r="F10" i="54" s="1"/>
  <c r="D10" i="54"/>
  <c r="E9" i="54"/>
  <c r="F9" i="54" s="1"/>
  <c r="D9" i="54"/>
  <c r="E8" i="54"/>
  <c r="F8" i="54" s="1"/>
  <c r="D8" i="54"/>
  <c r="E7" i="54"/>
  <c r="F7" i="54" s="1"/>
  <c r="D7" i="54"/>
  <c r="E6" i="54"/>
  <c r="F6" i="54" s="1"/>
  <c r="D6" i="54"/>
  <c r="I34" i="53"/>
  <c r="E30" i="53"/>
  <c r="F30" i="53" s="1"/>
  <c r="D30" i="53"/>
  <c r="E29" i="53"/>
  <c r="F29" i="53" s="1"/>
  <c r="D29" i="53"/>
  <c r="E28" i="53"/>
  <c r="F28" i="53" s="1"/>
  <c r="D28" i="53"/>
  <c r="E27" i="53"/>
  <c r="F27" i="53" s="1"/>
  <c r="D27" i="53"/>
  <c r="E26" i="53"/>
  <c r="F26" i="53" s="1"/>
  <c r="D26" i="53"/>
  <c r="E25" i="53"/>
  <c r="F25" i="53" s="1"/>
  <c r="D25" i="53"/>
  <c r="E24" i="53"/>
  <c r="F24" i="53" s="1"/>
  <c r="D24" i="53"/>
  <c r="E23" i="53"/>
  <c r="F23" i="53" s="1"/>
  <c r="D23" i="53"/>
  <c r="E22" i="53"/>
  <c r="F22" i="53" s="1"/>
  <c r="D22" i="53"/>
  <c r="E21" i="53"/>
  <c r="F21" i="53" s="1"/>
  <c r="D21" i="53"/>
  <c r="E20" i="53"/>
  <c r="F20" i="53" s="1"/>
  <c r="D20" i="53"/>
  <c r="E19" i="53"/>
  <c r="F19" i="53" s="1"/>
  <c r="D19" i="53"/>
  <c r="E18" i="53"/>
  <c r="F18" i="53" s="1"/>
  <c r="D18" i="53"/>
  <c r="E17" i="53"/>
  <c r="F17" i="53" s="1"/>
  <c r="D17" i="53"/>
  <c r="E16" i="53"/>
  <c r="F16" i="53" s="1"/>
  <c r="D16" i="53"/>
  <c r="E15" i="53"/>
  <c r="F15" i="53" s="1"/>
  <c r="D15" i="53"/>
  <c r="E14" i="53"/>
  <c r="F14" i="53" s="1"/>
  <c r="D14" i="53"/>
  <c r="E13" i="53"/>
  <c r="F13" i="53" s="1"/>
  <c r="D13" i="53"/>
  <c r="E12" i="53"/>
  <c r="F12" i="53" s="1"/>
  <c r="D12" i="53"/>
  <c r="E11" i="53"/>
  <c r="F11" i="53" s="1"/>
  <c r="D11" i="53"/>
  <c r="E10" i="53"/>
  <c r="F10" i="53" s="1"/>
  <c r="D10" i="53"/>
  <c r="E9" i="53"/>
  <c r="F9" i="53" s="1"/>
  <c r="D9" i="53"/>
  <c r="E8" i="53"/>
  <c r="F8" i="53" s="1"/>
  <c r="D8" i="53"/>
  <c r="E7" i="53"/>
  <c r="F7" i="53" s="1"/>
  <c r="D7" i="53"/>
  <c r="E6" i="53"/>
  <c r="F6" i="53" s="1"/>
  <c r="D6" i="53"/>
  <c r="I34" i="52"/>
  <c r="E30" i="52"/>
  <c r="F30" i="52" s="1"/>
  <c r="D30" i="52"/>
  <c r="E29" i="52"/>
  <c r="F29" i="52" s="1"/>
  <c r="D29" i="52"/>
  <c r="E28" i="52"/>
  <c r="F28" i="52" s="1"/>
  <c r="D28" i="52"/>
  <c r="E27" i="52"/>
  <c r="F27" i="52" s="1"/>
  <c r="D27" i="52"/>
  <c r="E26" i="52"/>
  <c r="F26" i="52" s="1"/>
  <c r="D26" i="52"/>
  <c r="E25" i="52"/>
  <c r="F25" i="52" s="1"/>
  <c r="D25" i="52"/>
  <c r="E24" i="52"/>
  <c r="F24" i="52" s="1"/>
  <c r="D24" i="52"/>
  <c r="E23" i="52"/>
  <c r="F23" i="52" s="1"/>
  <c r="D23" i="52"/>
  <c r="E22" i="52"/>
  <c r="F22" i="52" s="1"/>
  <c r="D22" i="52"/>
  <c r="E21" i="52"/>
  <c r="F21" i="52" s="1"/>
  <c r="D21" i="52"/>
  <c r="E20" i="52"/>
  <c r="F20" i="52" s="1"/>
  <c r="D20" i="52"/>
  <c r="E19" i="52"/>
  <c r="F19" i="52" s="1"/>
  <c r="D19" i="52"/>
  <c r="E18" i="52"/>
  <c r="F18" i="52" s="1"/>
  <c r="D18" i="52"/>
  <c r="E17" i="52"/>
  <c r="F17" i="52" s="1"/>
  <c r="D17" i="52"/>
  <c r="E16" i="52"/>
  <c r="F16" i="52" s="1"/>
  <c r="D16" i="52"/>
  <c r="E15" i="52"/>
  <c r="F15" i="52" s="1"/>
  <c r="D15" i="52"/>
  <c r="E14" i="52"/>
  <c r="F14" i="52" s="1"/>
  <c r="D14" i="52"/>
  <c r="E13" i="52"/>
  <c r="F13" i="52" s="1"/>
  <c r="D13" i="52"/>
  <c r="E12" i="52"/>
  <c r="F12" i="52" s="1"/>
  <c r="D12" i="52"/>
  <c r="E11" i="52"/>
  <c r="F11" i="52" s="1"/>
  <c r="D11" i="52"/>
  <c r="E10" i="52"/>
  <c r="F10" i="52" s="1"/>
  <c r="D10" i="52"/>
  <c r="E9" i="52"/>
  <c r="F9" i="52" s="1"/>
  <c r="D9" i="52"/>
  <c r="E8" i="52"/>
  <c r="F8" i="52" s="1"/>
  <c r="D8" i="52"/>
  <c r="E7" i="52"/>
  <c r="F7" i="52" s="1"/>
  <c r="D7" i="52"/>
  <c r="E6" i="52"/>
  <c r="F6" i="52" s="1"/>
  <c r="D6" i="52"/>
  <c r="I34" i="51"/>
  <c r="E30" i="51"/>
  <c r="F30" i="51" s="1"/>
  <c r="D30" i="51"/>
  <c r="E29" i="51"/>
  <c r="F29" i="51" s="1"/>
  <c r="D29" i="51"/>
  <c r="E28" i="51"/>
  <c r="F28" i="51" s="1"/>
  <c r="D28" i="51"/>
  <c r="E27" i="51"/>
  <c r="F27" i="51" s="1"/>
  <c r="D27" i="51"/>
  <c r="E26" i="51"/>
  <c r="F26" i="51" s="1"/>
  <c r="D26" i="51"/>
  <c r="E25" i="51"/>
  <c r="F25" i="51" s="1"/>
  <c r="D25" i="51"/>
  <c r="E24" i="51"/>
  <c r="F24" i="51" s="1"/>
  <c r="D24" i="51"/>
  <c r="E23" i="51"/>
  <c r="F23" i="51" s="1"/>
  <c r="D23" i="51"/>
  <c r="E22" i="51"/>
  <c r="F22" i="51" s="1"/>
  <c r="D22" i="51"/>
  <c r="E21" i="51"/>
  <c r="F21" i="51" s="1"/>
  <c r="D21" i="51"/>
  <c r="E20" i="51"/>
  <c r="F20" i="51" s="1"/>
  <c r="D20" i="51"/>
  <c r="E19" i="51"/>
  <c r="F19" i="51" s="1"/>
  <c r="D19" i="51"/>
  <c r="E18" i="51"/>
  <c r="F18" i="51" s="1"/>
  <c r="D18" i="51"/>
  <c r="E17" i="51"/>
  <c r="F17" i="51" s="1"/>
  <c r="D17" i="51"/>
  <c r="E16" i="51"/>
  <c r="F16" i="51" s="1"/>
  <c r="D16" i="51"/>
  <c r="E15" i="51"/>
  <c r="F15" i="51" s="1"/>
  <c r="D15" i="51"/>
  <c r="E14" i="51"/>
  <c r="F14" i="51" s="1"/>
  <c r="D14" i="51"/>
  <c r="E13" i="51"/>
  <c r="F13" i="51" s="1"/>
  <c r="D13" i="51"/>
  <c r="E12" i="51"/>
  <c r="F12" i="51" s="1"/>
  <c r="D12" i="51"/>
  <c r="E11" i="51"/>
  <c r="F11" i="51" s="1"/>
  <c r="D11" i="51"/>
  <c r="E10" i="51"/>
  <c r="F10" i="51" s="1"/>
  <c r="D10" i="51"/>
  <c r="E9" i="51"/>
  <c r="F9" i="51" s="1"/>
  <c r="D9" i="51"/>
  <c r="E8" i="51"/>
  <c r="F8" i="51" s="1"/>
  <c r="D8" i="51"/>
  <c r="E7" i="51"/>
  <c r="F7" i="51" s="1"/>
  <c r="D7" i="51"/>
  <c r="E6" i="51"/>
  <c r="F6" i="51" s="1"/>
  <c r="D6" i="51"/>
  <c r="I34" i="50"/>
  <c r="E30" i="50"/>
  <c r="F30" i="50" s="1"/>
  <c r="D30" i="50"/>
  <c r="E29" i="50"/>
  <c r="F29" i="50" s="1"/>
  <c r="D29" i="50"/>
  <c r="E28" i="50"/>
  <c r="F28" i="50" s="1"/>
  <c r="D28" i="50"/>
  <c r="E27" i="50"/>
  <c r="F27" i="50" s="1"/>
  <c r="D27" i="50"/>
  <c r="E26" i="50"/>
  <c r="F26" i="50" s="1"/>
  <c r="D26" i="50"/>
  <c r="E25" i="50"/>
  <c r="F25" i="50" s="1"/>
  <c r="D25" i="50"/>
  <c r="E24" i="50"/>
  <c r="F24" i="50" s="1"/>
  <c r="D24" i="50"/>
  <c r="E23" i="50"/>
  <c r="F23" i="50" s="1"/>
  <c r="D23" i="50"/>
  <c r="E22" i="50"/>
  <c r="F22" i="50" s="1"/>
  <c r="D22" i="50"/>
  <c r="E21" i="50"/>
  <c r="F21" i="50" s="1"/>
  <c r="D21" i="50"/>
  <c r="E20" i="50"/>
  <c r="F20" i="50" s="1"/>
  <c r="D20" i="50"/>
  <c r="E19" i="50"/>
  <c r="F19" i="50" s="1"/>
  <c r="D19" i="50"/>
  <c r="E18" i="50"/>
  <c r="F18" i="50" s="1"/>
  <c r="D18" i="50"/>
  <c r="E17" i="50"/>
  <c r="F17" i="50" s="1"/>
  <c r="D17" i="50"/>
  <c r="E16" i="50"/>
  <c r="F16" i="50" s="1"/>
  <c r="D16" i="50"/>
  <c r="E15" i="50"/>
  <c r="F15" i="50" s="1"/>
  <c r="D15" i="50"/>
  <c r="E14" i="50"/>
  <c r="F14" i="50" s="1"/>
  <c r="D14" i="50"/>
  <c r="E13" i="50"/>
  <c r="F13" i="50" s="1"/>
  <c r="D13" i="50"/>
  <c r="E12" i="50"/>
  <c r="F12" i="50" s="1"/>
  <c r="D12" i="50"/>
  <c r="E11" i="50"/>
  <c r="F11" i="50" s="1"/>
  <c r="D11" i="50"/>
  <c r="E10" i="50"/>
  <c r="F10" i="50" s="1"/>
  <c r="D10" i="50"/>
  <c r="E9" i="50"/>
  <c r="F9" i="50" s="1"/>
  <c r="D9" i="50"/>
  <c r="E8" i="50"/>
  <c r="F8" i="50" s="1"/>
  <c r="D8" i="50"/>
  <c r="E7" i="50"/>
  <c r="F7" i="50" s="1"/>
  <c r="D7" i="50"/>
  <c r="E6" i="50"/>
  <c r="F6" i="50" s="1"/>
  <c r="D6" i="50"/>
  <c r="I34" i="49"/>
  <c r="E30" i="49"/>
  <c r="F30" i="49" s="1"/>
  <c r="D30" i="49"/>
  <c r="E29" i="49"/>
  <c r="F29" i="49" s="1"/>
  <c r="D29" i="49"/>
  <c r="E28" i="49"/>
  <c r="F28" i="49" s="1"/>
  <c r="D28" i="49"/>
  <c r="E27" i="49"/>
  <c r="F27" i="49" s="1"/>
  <c r="D27" i="49"/>
  <c r="E26" i="49"/>
  <c r="F26" i="49" s="1"/>
  <c r="D26" i="49"/>
  <c r="E25" i="49"/>
  <c r="F25" i="49" s="1"/>
  <c r="D25" i="49"/>
  <c r="E24" i="49"/>
  <c r="F24" i="49" s="1"/>
  <c r="D24" i="49"/>
  <c r="E23" i="49"/>
  <c r="F23" i="49" s="1"/>
  <c r="D23" i="49"/>
  <c r="E22" i="49"/>
  <c r="F22" i="49" s="1"/>
  <c r="D22" i="49"/>
  <c r="E21" i="49"/>
  <c r="F21" i="49" s="1"/>
  <c r="D21" i="49"/>
  <c r="E20" i="49"/>
  <c r="F20" i="49" s="1"/>
  <c r="D20" i="49"/>
  <c r="E19" i="49"/>
  <c r="F19" i="49" s="1"/>
  <c r="D19" i="49"/>
  <c r="E18" i="49"/>
  <c r="F18" i="49" s="1"/>
  <c r="D18" i="49"/>
  <c r="E17" i="49"/>
  <c r="F17" i="49" s="1"/>
  <c r="D17" i="49"/>
  <c r="E16" i="49"/>
  <c r="F16" i="49" s="1"/>
  <c r="D16" i="49"/>
  <c r="E15" i="49"/>
  <c r="F15" i="49" s="1"/>
  <c r="D15" i="49"/>
  <c r="E14" i="49"/>
  <c r="F14" i="49" s="1"/>
  <c r="D14" i="49"/>
  <c r="E13" i="49"/>
  <c r="F13" i="49" s="1"/>
  <c r="D13" i="49"/>
  <c r="E12" i="49"/>
  <c r="F12" i="49" s="1"/>
  <c r="D12" i="49"/>
  <c r="E11" i="49"/>
  <c r="F11" i="49" s="1"/>
  <c r="D11" i="49"/>
  <c r="E10" i="49"/>
  <c r="F10" i="49" s="1"/>
  <c r="D10" i="49"/>
  <c r="E9" i="49"/>
  <c r="F9" i="49" s="1"/>
  <c r="D9" i="49"/>
  <c r="E8" i="49"/>
  <c r="F8" i="49" s="1"/>
  <c r="D8" i="49"/>
  <c r="E7" i="49"/>
  <c r="F7" i="49" s="1"/>
  <c r="D7" i="49"/>
  <c r="E6" i="49"/>
  <c r="F6" i="49" s="1"/>
  <c r="D6" i="49"/>
  <c r="I34" i="48"/>
  <c r="E30" i="48"/>
  <c r="F30" i="48" s="1"/>
  <c r="D30" i="48"/>
  <c r="E29" i="48"/>
  <c r="F29" i="48" s="1"/>
  <c r="D29" i="48"/>
  <c r="E28" i="48"/>
  <c r="F28" i="48" s="1"/>
  <c r="D28" i="48"/>
  <c r="E27" i="48"/>
  <c r="F27" i="48" s="1"/>
  <c r="D27" i="48"/>
  <c r="E26" i="48"/>
  <c r="F26" i="48" s="1"/>
  <c r="D26" i="48"/>
  <c r="E25" i="48"/>
  <c r="F25" i="48" s="1"/>
  <c r="D25" i="48"/>
  <c r="E24" i="48"/>
  <c r="F24" i="48" s="1"/>
  <c r="D24" i="48"/>
  <c r="E23" i="48"/>
  <c r="F23" i="48" s="1"/>
  <c r="D23" i="48"/>
  <c r="E22" i="48"/>
  <c r="F22" i="48" s="1"/>
  <c r="D22" i="48"/>
  <c r="E21" i="48"/>
  <c r="F21" i="48" s="1"/>
  <c r="D21" i="48"/>
  <c r="E20" i="48"/>
  <c r="F20" i="48" s="1"/>
  <c r="D20" i="48"/>
  <c r="E19" i="48"/>
  <c r="F19" i="48" s="1"/>
  <c r="D19" i="48"/>
  <c r="E18" i="48"/>
  <c r="F18" i="48" s="1"/>
  <c r="D18" i="48"/>
  <c r="E17" i="48"/>
  <c r="F17" i="48" s="1"/>
  <c r="D17" i="48"/>
  <c r="E16" i="48"/>
  <c r="F16" i="48" s="1"/>
  <c r="D16" i="48"/>
  <c r="E15" i="48"/>
  <c r="F15" i="48" s="1"/>
  <c r="D15" i="48"/>
  <c r="E14" i="48"/>
  <c r="F14" i="48" s="1"/>
  <c r="D14" i="48"/>
  <c r="E13" i="48"/>
  <c r="F13" i="48" s="1"/>
  <c r="D13" i="48"/>
  <c r="E12" i="48"/>
  <c r="F12" i="48" s="1"/>
  <c r="D12" i="48"/>
  <c r="E11" i="48"/>
  <c r="F11" i="48" s="1"/>
  <c r="D11" i="48"/>
  <c r="E10" i="48"/>
  <c r="F10" i="48" s="1"/>
  <c r="D10" i="48"/>
  <c r="E9" i="48"/>
  <c r="F9" i="48" s="1"/>
  <c r="D9" i="48"/>
  <c r="E8" i="48"/>
  <c r="F8" i="48" s="1"/>
  <c r="D8" i="48"/>
  <c r="E7" i="48"/>
  <c r="F7" i="48" s="1"/>
  <c r="D7" i="48"/>
  <c r="E6" i="48"/>
  <c r="F6" i="48" s="1"/>
  <c r="D6" i="48"/>
  <c r="I34" i="47"/>
  <c r="E30" i="47"/>
  <c r="F30" i="47" s="1"/>
  <c r="D30" i="47"/>
  <c r="E29" i="47"/>
  <c r="F29" i="47" s="1"/>
  <c r="D29" i="47"/>
  <c r="E28" i="47"/>
  <c r="F28" i="47" s="1"/>
  <c r="D28" i="47"/>
  <c r="E27" i="47"/>
  <c r="F27" i="47" s="1"/>
  <c r="D27" i="47"/>
  <c r="E26" i="47"/>
  <c r="F26" i="47" s="1"/>
  <c r="D26" i="47"/>
  <c r="E25" i="47"/>
  <c r="F25" i="47" s="1"/>
  <c r="D25" i="47"/>
  <c r="E24" i="47"/>
  <c r="F24" i="47" s="1"/>
  <c r="D24" i="47"/>
  <c r="E23" i="47"/>
  <c r="F23" i="47" s="1"/>
  <c r="D23" i="47"/>
  <c r="E22" i="47"/>
  <c r="F22" i="47" s="1"/>
  <c r="D22" i="47"/>
  <c r="E21" i="47"/>
  <c r="F21" i="47" s="1"/>
  <c r="D21" i="47"/>
  <c r="E20" i="47"/>
  <c r="F20" i="47" s="1"/>
  <c r="D20" i="47"/>
  <c r="E19" i="47"/>
  <c r="F19" i="47" s="1"/>
  <c r="D19" i="47"/>
  <c r="E18" i="47"/>
  <c r="F18" i="47" s="1"/>
  <c r="D18" i="47"/>
  <c r="E17" i="47"/>
  <c r="F17" i="47" s="1"/>
  <c r="D17" i="47"/>
  <c r="E16" i="47"/>
  <c r="F16" i="47" s="1"/>
  <c r="D16" i="47"/>
  <c r="E15" i="47"/>
  <c r="F15" i="47" s="1"/>
  <c r="D15" i="47"/>
  <c r="E14" i="47"/>
  <c r="F14" i="47" s="1"/>
  <c r="D14" i="47"/>
  <c r="E13" i="47"/>
  <c r="F13" i="47" s="1"/>
  <c r="D13" i="47"/>
  <c r="E12" i="47"/>
  <c r="F12" i="47" s="1"/>
  <c r="D12" i="47"/>
  <c r="E11" i="47"/>
  <c r="F11" i="47" s="1"/>
  <c r="D11" i="47"/>
  <c r="E10" i="47"/>
  <c r="F10" i="47" s="1"/>
  <c r="D10" i="47"/>
  <c r="E9" i="47"/>
  <c r="F9" i="47" s="1"/>
  <c r="D9" i="47"/>
  <c r="E8" i="47"/>
  <c r="F8" i="47" s="1"/>
  <c r="D8" i="47"/>
  <c r="E7" i="47"/>
  <c r="F7" i="47" s="1"/>
  <c r="D7" i="47"/>
  <c r="E6" i="47"/>
  <c r="F6" i="47" s="1"/>
  <c r="D6" i="47"/>
  <c r="I34" i="46"/>
  <c r="E30" i="46"/>
  <c r="F30" i="46" s="1"/>
  <c r="D30" i="46"/>
  <c r="E29" i="46"/>
  <c r="F29" i="46" s="1"/>
  <c r="D29" i="46"/>
  <c r="E28" i="46"/>
  <c r="F28" i="46" s="1"/>
  <c r="D28" i="46"/>
  <c r="E27" i="46"/>
  <c r="F27" i="46" s="1"/>
  <c r="D27" i="46"/>
  <c r="E26" i="46"/>
  <c r="F26" i="46" s="1"/>
  <c r="D26" i="46"/>
  <c r="E25" i="46"/>
  <c r="F25" i="46" s="1"/>
  <c r="D25" i="46"/>
  <c r="E24" i="46"/>
  <c r="F24" i="46" s="1"/>
  <c r="D24" i="46"/>
  <c r="E23" i="46"/>
  <c r="F23" i="46" s="1"/>
  <c r="D23" i="46"/>
  <c r="E22" i="46"/>
  <c r="F22" i="46" s="1"/>
  <c r="D22" i="46"/>
  <c r="E21" i="46"/>
  <c r="F21" i="46" s="1"/>
  <c r="D21" i="46"/>
  <c r="E20" i="46"/>
  <c r="F20" i="46" s="1"/>
  <c r="D20" i="46"/>
  <c r="E19" i="46"/>
  <c r="F19" i="46" s="1"/>
  <c r="D19" i="46"/>
  <c r="E18" i="46"/>
  <c r="F18" i="46" s="1"/>
  <c r="D18" i="46"/>
  <c r="E17" i="46"/>
  <c r="F17" i="46" s="1"/>
  <c r="D17" i="46"/>
  <c r="E16" i="46"/>
  <c r="F16" i="46" s="1"/>
  <c r="D16" i="46"/>
  <c r="E15" i="46"/>
  <c r="F15" i="46" s="1"/>
  <c r="D15" i="46"/>
  <c r="E14" i="46"/>
  <c r="F14" i="46" s="1"/>
  <c r="D14" i="46"/>
  <c r="E13" i="46"/>
  <c r="F13" i="46" s="1"/>
  <c r="D13" i="46"/>
  <c r="E12" i="46"/>
  <c r="F12" i="46" s="1"/>
  <c r="D12" i="46"/>
  <c r="E11" i="46"/>
  <c r="F11" i="46" s="1"/>
  <c r="D11" i="46"/>
  <c r="E10" i="46"/>
  <c r="F10" i="46" s="1"/>
  <c r="D10" i="46"/>
  <c r="E9" i="46"/>
  <c r="F9" i="46" s="1"/>
  <c r="D9" i="46"/>
  <c r="E8" i="46"/>
  <c r="F8" i="46" s="1"/>
  <c r="D8" i="46"/>
  <c r="E7" i="46"/>
  <c r="F7" i="46" s="1"/>
  <c r="D7" i="46"/>
  <c r="E6" i="46"/>
  <c r="F6" i="46" s="1"/>
  <c r="D6" i="46"/>
  <c r="I34" i="45"/>
  <c r="E30" i="45"/>
  <c r="F30" i="45" s="1"/>
  <c r="D30" i="45"/>
  <c r="E29" i="45"/>
  <c r="F29" i="45" s="1"/>
  <c r="D29" i="45"/>
  <c r="E28" i="45"/>
  <c r="F28" i="45" s="1"/>
  <c r="D28" i="45"/>
  <c r="E27" i="45"/>
  <c r="F27" i="45" s="1"/>
  <c r="D27" i="45"/>
  <c r="E26" i="45"/>
  <c r="F26" i="45" s="1"/>
  <c r="D26" i="45"/>
  <c r="E25" i="45"/>
  <c r="F25" i="45" s="1"/>
  <c r="D25" i="45"/>
  <c r="E24" i="45"/>
  <c r="F24" i="45" s="1"/>
  <c r="D24" i="45"/>
  <c r="E23" i="45"/>
  <c r="F23" i="45" s="1"/>
  <c r="D23" i="45"/>
  <c r="E22" i="45"/>
  <c r="F22" i="45" s="1"/>
  <c r="D22" i="45"/>
  <c r="E21" i="45"/>
  <c r="F21" i="45" s="1"/>
  <c r="D21" i="45"/>
  <c r="E20" i="45"/>
  <c r="F20" i="45" s="1"/>
  <c r="D20" i="45"/>
  <c r="E19" i="45"/>
  <c r="F19" i="45" s="1"/>
  <c r="D19" i="45"/>
  <c r="E18" i="45"/>
  <c r="F18" i="45" s="1"/>
  <c r="D18" i="45"/>
  <c r="E17" i="45"/>
  <c r="F17" i="45" s="1"/>
  <c r="D17" i="45"/>
  <c r="E16" i="45"/>
  <c r="F16" i="45" s="1"/>
  <c r="D16" i="45"/>
  <c r="E15" i="45"/>
  <c r="F15" i="45" s="1"/>
  <c r="D15" i="45"/>
  <c r="E14" i="45"/>
  <c r="F14" i="45" s="1"/>
  <c r="D14" i="45"/>
  <c r="E13" i="45"/>
  <c r="F13" i="45" s="1"/>
  <c r="D13" i="45"/>
  <c r="E12" i="45"/>
  <c r="F12" i="45" s="1"/>
  <c r="D12" i="45"/>
  <c r="E11" i="45"/>
  <c r="F11" i="45" s="1"/>
  <c r="D11" i="45"/>
  <c r="E10" i="45"/>
  <c r="F10" i="45" s="1"/>
  <c r="D10" i="45"/>
  <c r="E9" i="45"/>
  <c r="F9" i="45" s="1"/>
  <c r="D9" i="45"/>
  <c r="E8" i="45"/>
  <c r="F8" i="45" s="1"/>
  <c r="D8" i="45"/>
  <c r="E7" i="45"/>
  <c r="F7" i="45" s="1"/>
  <c r="D7" i="45"/>
  <c r="E6" i="45"/>
  <c r="F6" i="45" s="1"/>
  <c r="D6" i="45"/>
  <c r="I34" i="44"/>
  <c r="E30" i="44"/>
  <c r="F30" i="44" s="1"/>
  <c r="D30" i="44"/>
  <c r="E29" i="44"/>
  <c r="F29" i="44" s="1"/>
  <c r="D29" i="44"/>
  <c r="E28" i="44"/>
  <c r="F28" i="44" s="1"/>
  <c r="D28" i="44"/>
  <c r="E27" i="44"/>
  <c r="F27" i="44" s="1"/>
  <c r="D27" i="44"/>
  <c r="E26" i="44"/>
  <c r="F26" i="44" s="1"/>
  <c r="D26" i="44"/>
  <c r="E25" i="44"/>
  <c r="F25" i="44" s="1"/>
  <c r="D25" i="44"/>
  <c r="E24" i="44"/>
  <c r="F24" i="44" s="1"/>
  <c r="D24" i="44"/>
  <c r="E23" i="44"/>
  <c r="F23" i="44" s="1"/>
  <c r="D23" i="44"/>
  <c r="E22" i="44"/>
  <c r="F22" i="44" s="1"/>
  <c r="D22" i="44"/>
  <c r="E21" i="44"/>
  <c r="F21" i="44" s="1"/>
  <c r="D21" i="44"/>
  <c r="E20" i="44"/>
  <c r="F20" i="44" s="1"/>
  <c r="D20" i="44"/>
  <c r="E19" i="44"/>
  <c r="F19" i="44" s="1"/>
  <c r="D19" i="44"/>
  <c r="E18" i="44"/>
  <c r="F18" i="44" s="1"/>
  <c r="D18" i="44"/>
  <c r="E17" i="44"/>
  <c r="F17" i="44" s="1"/>
  <c r="D17" i="44"/>
  <c r="E16" i="44"/>
  <c r="F16" i="44" s="1"/>
  <c r="D16" i="44"/>
  <c r="E15" i="44"/>
  <c r="F15" i="44" s="1"/>
  <c r="D15" i="44"/>
  <c r="E14" i="44"/>
  <c r="F14" i="44" s="1"/>
  <c r="D14" i="44"/>
  <c r="E13" i="44"/>
  <c r="F13" i="44" s="1"/>
  <c r="D13" i="44"/>
  <c r="E12" i="44"/>
  <c r="F12" i="44" s="1"/>
  <c r="D12" i="44"/>
  <c r="E11" i="44"/>
  <c r="F11" i="44" s="1"/>
  <c r="D11" i="44"/>
  <c r="E10" i="44"/>
  <c r="F10" i="44" s="1"/>
  <c r="D10" i="44"/>
  <c r="E9" i="44"/>
  <c r="F9" i="44" s="1"/>
  <c r="D9" i="44"/>
  <c r="E8" i="44"/>
  <c r="F8" i="44" s="1"/>
  <c r="D8" i="44"/>
  <c r="E7" i="44"/>
  <c r="F7" i="44" s="1"/>
  <c r="D7" i="44"/>
  <c r="E6" i="44"/>
  <c r="F6" i="44" s="1"/>
  <c r="D6" i="44"/>
  <c r="I34" i="43"/>
  <c r="E30" i="43"/>
  <c r="F30" i="43" s="1"/>
  <c r="D30" i="43"/>
  <c r="E29" i="43"/>
  <c r="F29" i="43" s="1"/>
  <c r="D29" i="43"/>
  <c r="E28" i="43"/>
  <c r="F28" i="43" s="1"/>
  <c r="D28" i="43"/>
  <c r="E27" i="43"/>
  <c r="F27" i="43" s="1"/>
  <c r="D27" i="43"/>
  <c r="E26" i="43"/>
  <c r="F26" i="43" s="1"/>
  <c r="D26" i="43"/>
  <c r="E25" i="43"/>
  <c r="F25" i="43" s="1"/>
  <c r="D25" i="43"/>
  <c r="E24" i="43"/>
  <c r="F24" i="43" s="1"/>
  <c r="D24" i="43"/>
  <c r="E23" i="43"/>
  <c r="F23" i="43" s="1"/>
  <c r="D23" i="43"/>
  <c r="E22" i="43"/>
  <c r="F22" i="43" s="1"/>
  <c r="D22" i="43"/>
  <c r="E21" i="43"/>
  <c r="F21" i="43" s="1"/>
  <c r="D21" i="43"/>
  <c r="E20" i="43"/>
  <c r="F20" i="43" s="1"/>
  <c r="D20" i="43"/>
  <c r="E19" i="43"/>
  <c r="F19" i="43" s="1"/>
  <c r="D19" i="43"/>
  <c r="E18" i="43"/>
  <c r="F18" i="43" s="1"/>
  <c r="D18" i="43"/>
  <c r="E17" i="43"/>
  <c r="F17" i="43" s="1"/>
  <c r="D17" i="43"/>
  <c r="E16" i="43"/>
  <c r="F16" i="43" s="1"/>
  <c r="D16" i="43"/>
  <c r="E15" i="43"/>
  <c r="F15" i="43" s="1"/>
  <c r="D15" i="43"/>
  <c r="E14" i="43"/>
  <c r="F14" i="43" s="1"/>
  <c r="D14" i="43"/>
  <c r="E13" i="43"/>
  <c r="F13" i="43" s="1"/>
  <c r="D13" i="43"/>
  <c r="E12" i="43"/>
  <c r="F12" i="43" s="1"/>
  <c r="D12" i="43"/>
  <c r="E11" i="43"/>
  <c r="F11" i="43" s="1"/>
  <c r="D11" i="43"/>
  <c r="E10" i="43"/>
  <c r="F10" i="43" s="1"/>
  <c r="D10" i="43"/>
  <c r="E9" i="43"/>
  <c r="F9" i="43" s="1"/>
  <c r="D9" i="43"/>
  <c r="E8" i="43"/>
  <c r="F8" i="43" s="1"/>
  <c r="D8" i="43"/>
  <c r="E7" i="43"/>
  <c r="F7" i="43" s="1"/>
  <c r="D7" i="43"/>
  <c r="E6" i="43"/>
  <c r="F6" i="43" s="1"/>
  <c r="D6" i="43"/>
  <c r="I34" i="30"/>
  <c r="E30" i="30"/>
  <c r="F30" i="30" s="1"/>
  <c r="D30" i="30"/>
  <c r="E29" i="30"/>
  <c r="F29" i="30" s="1"/>
  <c r="D29" i="30"/>
  <c r="E28" i="30"/>
  <c r="F28" i="30" s="1"/>
  <c r="D28" i="30"/>
  <c r="E27" i="30"/>
  <c r="F27" i="30" s="1"/>
  <c r="D27" i="30"/>
  <c r="E26" i="30"/>
  <c r="F26" i="30" s="1"/>
  <c r="D26" i="30"/>
  <c r="E25" i="30"/>
  <c r="F25" i="30" s="1"/>
  <c r="D25" i="30"/>
  <c r="E24" i="30"/>
  <c r="F24" i="30" s="1"/>
  <c r="D24" i="30"/>
  <c r="E23" i="30"/>
  <c r="F23" i="30" s="1"/>
  <c r="D23" i="30"/>
  <c r="E22" i="30"/>
  <c r="F22" i="30" s="1"/>
  <c r="D22" i="30"/>
  <c r="E21" i="30"/>
  <c r="F21" i="30" s="1"/>
  <c r="D21" i="30"/>
  <c r="E20" i="30"/>
  <c r="F20" i="30" s="1"/>
  <c r="D20" i="30"/>
  <c r="E19" i="30"/>
  <c r="F19" i="30" s="1"/>
  <c r="D19" i="30"/>
  <c r="E18" i="30"/>
  <c r="F18" i="30" s="1"/>
  <c r="D18" i="30"/>
  <c r="E17" i="30"/>
  <c r="F17" i="30" s="1"/>
  <c r="D17" i="30"/>
  <c r="E16" i="30"/>
  <c r="F16" i="30" s="1"/>
  <c r="D16" i="30"/>
  <c r="E15" i="30"/>
  <c r="F15" i="30" s="1"/>
  <c r="D15" i="30"/>
  <c r="E14" i="30"/>
  <c r="F14" i="30" s="1"/>
  <c r="D14" i="30"/>
  <c r="E13" i="30"/>
  <c r="F13" i="30" s="1"/>
  <c r="D13" i="30"/>
  <c r="E12" i="30"/>
  <c r="F12" i="30" s="1"/>
  <c r="D12" i="30"/>
  <c r="E11" i="30"/>
  <c r="F11" i="30" s="1"/>
  <c r="D11" i="30"/>
  <c r="E10" i="30"/>
  <c r="F10" i="30" s="1"/>
  <c r="D10" i="30"/>
  <c r="E9" i="30"/>
  <c r="F9" i="30" s="1"/>
  <c r="D9" i="30"/>
  <c r="E8" i="30"/>
  <c r="F8" i="30" s="1"/>
  <c r="D8" i="30"/>
  <c r="E7" i="30"/>
  <c r="F7" i="30" s="1"/>
  <c r="D7" i="30"/>
  <c r="E6" i="30"/>
  <c r="F6" i="30" s="1"/>
  <c r="D6" i="30"/>
  <c r="I34" i="29"/>
  <c r="E30" i="29"/>
  <c r="F30" i="29" s="1"/>
  <c r="D30" i="29"/>
  <c r="E29" i="29"/>
  <c r="F29" i="29" s="1"/>
  <c r="D29" i="29"/>
  <c r="E28" i="29"/>
  <c r="F28" i="29" s="1"/>
  <c r="D28" i="29"/>
  <c r="E27" i="29"/>
  <c r="F27" i="29" s="1"/>
  <c r="D27" i="29"/>
  <c r="E26" i="29"/>
  <c r="F26" i="29" s="1"/>
  <c r="D26" i="29"/>
  <c r="E25" i="29"/>
  <c r="F25" i="29" s="1"/>
  <c r="D25" i="29"/>
  <c r="E24" i="29"/>
  <c r="F24" i="29" s="1"/>
  <c r="D24" i="29"/>
  <c r="E23" i="29"/>
  <c r="F23" i="29" s="1"/>
  <c r="D23" i="29"/>
  <c r="E22" i="29"/>
  <c r="F22" i="29" s="1"/>
  <c r="D22" i="29"/>
  <c r="E21" i="29"/>
  <c r="F21" i="29" s="1"/>
  <c r="D21" i="29"/>
  <c r="E20" i="29"/>
  <c r="F20" i="29" s="1"/>
  <c r="D20" i="29"/>
  <c r="E19" i="29"/>
  <c r="F19" i="29" s="1"/>
  <c r="D19" i="29"/>
  <c r="E18" i="29"/>
  <c r="F18" i="29" s="1"/>
  <c r="D18" i="29"/>
  <c r="E17" i="29"/>
  <c r="F17" i="29" s="1"/>
  <c r="D17" i="29"/>
  <c r="E16" i="29"/>
  <c r="F16" i="29" s="1"/>
  <c r="D16" i="29"/>
  <c r="E15" i="29"/>
  <c r="F15" i="29" s="1"/>
  <c r="D15" i="29"/>
  <c r="E14" i="29"/>
  <c r="F14" i="29" s="1"/>
  <c r="D14" i="29"/>
  <c r="E13" i="29"/>
  <c r="F13" i="29" s="1"/>
  <c r="D13" i="29"/>
  <c r="E12" i="29"/>
  <c r="F12" i="29" s="1"/>
  <c r="D12" i="29"/>
  <c r="E11" i="29"/>
  <c r="F11" i="29" s="1"/>
  <c r="D11" i="29"/>
  <c r="E10" i="29"/>
  <c r="F10" i="29" s="1"/>
  <c r="D10" i="29"/>
  <c r="E9" i="29"/>
  <c r="F9" i="29" s="1"/>
  <c r="D9" i="29"/>
  <c r="E8" i="29"/>
  <c r="F8" i="29" s="1"/>
  <c r="D8" i="29"/>
  <c r="E7" i="29"/>
  <c r="F7" i="29" s="1"/>
  <c r="D7" i="29"/>
  <c r="E6" i="29"/>
  <c r="F6" i="29" s="1"/>
  <c r="D6" i="29"/>
  <c r="I34" i="28"/>
  <c r="E30" i="28"/>
  <c r="F30" i="28" s="1"/>
  <c r="D30" i="28"/>
  <c r="E29" i="28"/>
  <c r="F29" i="28" s="1"/>
  <c r="D29" i="28"/>
  <c r="E28" i="28"/>
  <c r="F28" i="28" s="1"/>
  <c r="D28" i="28"/>
  <c r="E27" i="28"/>
  <c r="F27" i="28" s="1"/>
  <c r="D27" i="28"/>
  <c r="E26" i="28"/>
  <c r="F26" i="28" s="1"/>
  <c r="D26" i="28"/>
  <c r="E25" i="28"/>
  <c r="F25" i="28" s="1"/>
  <c r="D25" i="28"/>
  <c r="E24" i="28"/>
  <c r="F24" i="28" s="1"/>
  <c r="D24" i="28"/>
  <c r="E23" i="28"/>
  <c r="F23" i="28" s="1"/>
  <c r="D23" i="28"/>
  <c r="E22" i="28"/>
  <c r="F22" i="28" s="1"/>
  <c r="D22" i="28"/>
  <c r="E21" i="28"/>
  <c r="F21" i="28" s="1"/>
  <c r="D21" i="28"/>
  <c r="E20" i="28"/>
  <c r="F20" i="28" s="1"/>
  <c r="D20" i="28"/>
  <c r="E19" i="28"/>
  <c r="F19" i="28" s="1"/>
  <c r="D19" i="28"/>
  <c r="E18" i="28"/>
  <c r="F18" i="28" s="1"/>
  <c r="D18" i="28"/>
  <c r="E17" i="28"/>
  <c r="F17" i="28" s="1"/>
  <c r="D17" i="28"/>
  <c r="E16" i="28"/>
  <c r="F16" i="28" s="1"/>
  <c r="D16" i="28"/>
  <c r="E15" i="28"/>
  <c r="F15" i="28" s="1"/>
  <c r="D15" i="28"/>
  <c r="E14" i="28"/>
  <c r="F14" i="28" s="1"/>
  <c r="D14" i="28"/>
  <c r="E13" i="28"/>
  <c r="F13" i="28" s="1"/>
  <c r="D13" i="28"/>
  <c r="E12" i="28"/>
  <c r="F12" i="28" s="1"/>
  <c r="D12" i="28"/>
  <c r="E11" i="28"/>
  <c r="F11" i="28" s="1"/>
  <c r="D11" i="28"/>
  <c r="E10" i="28"/>
  <c r="F10" i="28" s="1"/>
  <c r="D10" i="28"/>
  <c r="E9" i="28"/>
  <c r="F9" i="28" s="1"/>
  <c r="D9" i="28"/>
  <c r="E8" i="28"/>
  <c r="F8" i="28" s="1"/>
  <c r="D8" i="28"/>
  <c r="E7" i="28"/>
  <c r="F7" i="28" s="1"/>
  <c r="D7" i="28"/>
  <c r="E6" i="28"/>
  <c r="F6" i="28" s="1"/>
  <c r="D6" i="28"/>
  <c r="I34" i="27"/>
  <c r="E30" i="27"/>
  <c r="F30" i="27" s="1"/>
  <c r="D30" i="27"/>
  <c r="E29" i="27"/>
  <c r="F29" i="27" s="1"/>
  <c r="D29" i="27"/>
  <c r="E28" i="27"/>
  <c r="F28" i="27" s="1"/>
  <c r="D28" i="27"/>
  <c r="E27" i="27"/>
  <c r="F27" i="27" s="1"/>
  <c r="D27" i="27"/>
  <c r="E26" i="27"/>
  <c r="F26" i="27" s="1"/>
  <c r="D26" i="27"/>
  <c r="E25" i="27"/>
  <c r="F25" i="27" s="1"/>
  <c r="D25" i="27"/>
  <c r="E24" i="27"/>
  <c r="F24" i="27" s="1"/>
  <c r="D24" i="27"/>
  <c r="E23" i="27"/>
  <c r="F23" i="27" s="1"/>
  <c r="D23" i="27"/>
  <c r="E22" i="27"/>
  <c r="F22" i="27" s="1"/>
  <c r="D22" i="27"/>
  <c r="E21" i="27"/>
  <c r="F21" i="27" s="1"/>
  <c r="D21" i="27"/>
  <c r="E20" i="27"/>
  <c r="F20" i="27" s="1"/>
  <c r="D20" i="27"/>
  <c r="E19" i="27"/>
  <c r="F19" i="27" s="1"/>
  <c r="D19" i="27"/>
  <c r="E18" i="27"/>
  <c r="F18" i="27" s="1"/>
  <c r="D18" i="27"/>
  <c r="E17" i="27"/>
  <c r="F17" i="27" s="1"/>
  <c r="D17" i="27"/>
  <c r="E16" i="27"/>
  <c r="F16" i="27" s="1"/>
  <c r="D16" i="27"/>
  <c r="E15" i="27"/>
  <c r="F15" i="27" s="1"/>
  <c r="D15" i="27"/>
  <c r="E14" i="27"/>
  <c r="F14" i="27" s="1"/>
  <c r="D14" i="27"/>
  <c r="E13" i="27"/>
  <c r="F13" i="27" s="1"/>
  <c r="D13" i="27"/>
  <c r="E12" i="27"/>
  <c r="F12" i="27" s="1"/>
  <c r="D12" i="27"/>
  <c r="E11" i="27"/>
  <c r="F11" i="27" s="1"/>
  <c r="D11" i="27"/>
  <c r="E10" i="27"/>
  <c r="F10" i="27" s="1"/>
  <c r="D10" i="27"/>
  <c r="E9" i="27"/>
  <c r="F9" i="27" s="1"/>
  <c r="D9" i="27"/>
  <c r="E8" i="27"/>
  <c r="F8" i="27" s="1"/>
  <c r="D8" i="27"/>
  <c r="E7" i="27"/>
  <c r="F7" i="27" s="1"/>
  <c r="D7" i="27"/>
  <c r="E6" i="27"/>
  <c r="F6" i="27" s="1"/>
  <c r="D6" i="27"/>
  <c r="I34" i="26"/>
  <c r="E30" i="26"/>
  <c r="F30" i="26" s="1"/>
  <c r="D30" i="26"/>
  <c r="E29" i="26"/>
  <c r="F29" i="26" s="1"/>
  <c r="D29" i="26"/>
  <c r="E28" i="26"/>
  <c r="F28" i="26" s="1"/>
  <c r="D28" i="26"/>
  <c r="E27" i="26"/>
  <c r="F27" i="26" s="1"/>
  <c r="D27" i="26"/>
  <c r="E26" i="26"/>
  <c r="F26" i="26" s="1"/>
  <c r="D26" i="26"/>
  <c r="E25" i="26"/>
  <c r="F25" i="26" s="1"/>
  <c r="D25" i="26"/>
  <c r="E24" i="26"/>
  <c r="F24" i="26" s="1"/>
  <c r="D24" i="26"/>
  <c r="E23" i="26"/>
  <c r="F23" i="26" s="1"/>
  <c r="D23" i="26"/>
  <c r="E22" i="26"/>
  <c r="F22" i="26" s="1"/>
  <c r="D22" i="26"/>
  <c r="E21" i="26"/>
  <c r="F21" i="26" s="1"/>
  <c r="D21" i="26"/>
  <c r="E20" i="26"/>
  <c r="F20" i="26" s="1"/>
  <c r="D20" i="26"/>
  <c r="E19" i="26"/>
  <c r="F19" i="26" s="1"/>
  <c r="D19" i="26"/>
  <c r="E18" i="26"/>
  <c r="F18" i="26" s="1"/>
  <c r="D18" i="26"/>
  <c r="E17" i="26"/>
  <c r="F17" i="26" s="1"/>
  <c r="D17" i="26"/>
  <c r="E16" i="26"/>
  <c r="F16" i="26" s="1"/>
  <c r="D16" i="26"/>
  <c r="E15" i="26"/>
  <c r="F15" i="26" s="1"/>
  <c r="D15" i="26"/>
  <c r="E14" i="26"/>
  <c r="F14" i="26" s="1"/>
  <c r="D14" i="26"/>
  <c r="E13" i="26"/>
  <c r="F13" i="26" s="1"/>
  <c r="D13" i="26"/>
  <c r="E12" i="26"/>
  <c r="F12" i="26" s="1"/>
  <c r="D12" i="26"/>
  <c r="E11" i="26"/>
  <c r="F11" i="26" s="1"/>
  <c r="D11" i="26"/>
  <c r="E10" i="26"/>
  <c r="F10" i="26" s="1"/>
  <c r="D10" i="26"/>
  <c r="E9" i="26"/>
  <c r="F9" i="26" s="1"/>
  <c r="D9" i="26"/>
  <c r="E8" i="26"/>
  <c r="F8" i="26" s="1"/>
  <c r="D8" i="26"/>
  <c r="E7" i="26"/>
  <c r="F7" i="26" s="1"/>
  <c r="D7" i="26"/>
  <c r="E6" i="26"/>
  <c r="F6" i="26" s="1"/>
  <c r="D6" i="26"/>
  <c r="I34" i="25"/>
  <c r="E30" i="25"/>
  <c r="F30" i="25" s="1"/>
  <c r="D30" i="25"/>
  <c r="E29" i="25"/>
  <c r="F29" i="25" s="1"/>
  <c r="D29" i="25"/>
  <c r="E28" i="25"/>
  <c r="F28" i="25" s="1"/>
  <c r="D28" i="25"/>
  <c r="E27" i="25"/>
  <c r="F27" i="25" s="1"/>
  <c r="D27" i="25"/>
  <c r="E26" i="25"/>
  <c r="F26" i="25" s="1"/>
  <c r="D26" i="25"/>
  <c r="E25" i="25"/>
  <c r="F25" i="25" s="1"/>
  <c r="D25" i="25"/>
  <c r="E24" i="25"/>
  <c r="F24" i="25" s="1"/>
  <c r="D24" i="25"/>
  <c r="E23" i="25"/>
  <c r="F23" i="25" s="1"/>
  <c r="D23" i="25"/>
  <c r="E22" i="25"/>
  <c r="F22" i="25" s="1"/>
  <c r="D22" i="25"/>
  <c r="E21" i="25"/>
  <c r="F21" i="25" s="1"/>
  <c r="D21" i="25"/>
  <c r="E20" i="25"/>
  <c r="F20" i="25" s="1"/>
  <c r="D20" i="25"/>
  <c r="E19" i="25"/>
  <c r="F19" i="25" s="1"/>
  <c r="D19" i="25"/>
  <c r="E18" i="25"/>
  <c r="F18" i="25" s="1"/>
  <c r="D18" i="25"/>
  <c r="E17" i="25"/>
  <c r="F17" i="25" s="1"/>
  <c r="D17" i="25"/>
  <c r="E16" i="25"/>
  <c r="F16" i="25" s="1"/>
  <c r="D16" i="25"/>
  <c r="E15" i="25"/>
  <c r="F15" i="25" s="1"/>
  <c r="D15" i="25"/>
  <c r="E14" i="25"/>
  <c r="F14" i="25" s="1"/>
  <c r="D14" i="25"/>
  <c r="E13" i="25"/>
  <c r="F13" i="25" s="1"/>
  <c r="D13" i="25"/>
  <c r="E12" i="25"/>
  <c r="F12" i="25" s="1"/>
  <c r="D12" i="25"/>
  <c r="E11" i="25"/>
  <c r="F11" i="25" s="1"/>
  <c r="D11" i="25"/>
  <c r="E10" i="25"/>
  <c r="F10" i="25" s="1"/>
  <c r="D10" i="25"/>
  <c r="E9" i="25"/>
  <c r="F9" i="25" s="1"/>
  <c r="D9" i="25"/>
  <c r="E8" i="25"/>
  <c r="F8" i="25" s="1"/>
  <c r="D8" i="25"/>
  <c r="E7" i="25"/>
  <c r="F7" i="25" s="1"/>
  <c r="D7" i="25"/>
  <c r="E6" i="25"/>
  <c r="F6" i="25" s="1"/>
  <c r="D6" i="25"/>
  <c r="I34" i="24"/>
  <c r="E30" i="24"/>
  <c r="F30" i="24" s="1"/>
  <c r="D30" i="24"/>
  <c r="E29" i="24"/>
  <c r="F29" i="24" s="1"/>
  <c r="D29" i="24"/>
  <c r="E28" i="24"/>
  <c r="F28" i="24" s="1"/>
  <c r="D28" i="24"/>
  <c r="E27" i="24"/>
  <c r="F27" i="24" s="1"/>
  <c r="D27" i="24"/>
  <c r="E26" i="24"/>
  <c r="F26" i="24" s="1"/>
  <c r="D26" i="24"/>
  <c r="E25" i="24"/>
  <c r="F25" i="24" s="1"/>
  <c r="D25" i="24"/>
  <c r="E24" i="24"/>
  <c r="F24" i="24" s="1"/>
  <c r="D24" i="24"/>
  <c r="E23" i="24"/>
  <c r="F23" i="24" s="1"/>
  <c r="D23" i="24"/>
  <c r="E22" i="24"/>
  <c r="F22" i="24" s="1"/>
  <c r="D22" i="24"/>
  <c r="E21" i="24"/>
  <c r="F21" i="24" s="1"/>
  <c r="D21" i="24"/>
  <c r="E20" i="24"/>
  <c r="F20" i="24" s="1"/>
  <c r="D20" i="24"/>
  <c r="E19" i="24"/>
  <c r="F19" i="24" s="1"/>
  <c r="D19" i="24"/>
  <c r="E18" i="24"/>
  <c r="F18" i="24" s="1"/>
  <c r="D18" i="24"/>
  <c r="E17" i="24"/>
  <c r="F17" i="24" s="1"/>
  <c r="D17" i="24"/>
  <c r="E16" i="24"/>
  <c r="F16" i="24" s="1"/>
  <c r="D16" i="24"/>
  <c r="E15" i="24"/>
  <c r="F15" i="24" s="1"/>
  <c r="D15" i="24"/>
  <c r="E14" i="24"/>
  <c r="F14" i="24" s="1"/>
  <c r="D14" i="24"/>
  <c r="E13" i="24"/>
  <c r="F13" i="24" s="1"/>
  <c r="D13" i="24"/>
  <c r="E12" i="24"/>
  <c r="F12" i="24" s="1"/>
  <c r="D12" i="24"/>
  <c r="E11" i="24"/>
  <c r="F11" i="24" s="1"/>
  <c r="D11" i="24"/>
  <c r="E10" i="24"/>
  <c r="F10" i="24" s="1"/>
  <c r="D10" i="24"/>
  <c r="E9" i="24"/>
  <c r="F9" i="24" s="1"/>
  <c r="D9" i="24"/>
  <c r="E8" i="24"/>
  <c r="F8" i="24" s="1"/>
  <c r="D8" i="24"/>
  <c r="E7" i="24"/>
  <c r="F7" i="24" s="1"/>
  <c r="D7" i="24"/>
  <c r="E6" i="24"/>
  <c r="F6" i="24" s="1"/>
  <c r="D6" i="24"/>
  <c r="I34" i="23"/>
  <c r="E30" i="23"/>
  <c r="F30" i="23" s="1"/>
  <c r="D30" i="23"/>
  <c r="E29" i="23"/>
  <c r="F29" i="23" s="1"/>
  <c r="D29" i="23"/>
  <c r="E28" i="23"/>
  <c r="F28" i="23" s="1"/>
  <c r="D28" i="23"/>
  <c r="E27" i="23"/>
  <c r="F27" i="23" s="1"/>
  <c r="D27" i="23"/>
  <c r="E26" i="23"/>
  <c r="F26" i="23" s="1"/>
  <c r="D26" i="23"/>
  <c r="E25" i="23"/>
  <c r="F25" i="23" s="1"/>
  <c r="D25" i="23"/>
  <c r="E24" i="23"/>
  <c r="F24" i="23" s="1"/>
  <c r="D24" i="23"/>
  <c r="E23" i="23"/>
  <c r="F23" i="23" s="1"/>
  <c r="D23" i="23"/>
  <c r="E22" i="23"/>
  <c r="F22" i="23" s="1"/>
  <c r="D22" i="23"/>
  <c r="E21" i="23"/>
  <c r="F21" i="23" s="1"/>
  <c r="D21" i="23"/>
  <c r="E20" i="23"/>
  <c r="F20" i="23" s="1"/>
  <c r="D20" i="23"/>
  <c r="E19" i="23"/>
  <c r="F19" i="23" s="1"/>
  <c r="D19" i="23"/>
  <c r="E18" i="23"/>
  <c r="F18" i="23" s="1"/>
  <c r="D18" i="23"/>
  <c r="E17" i="23"/>
  <c r="F17" i="23" s="1"/>
  <c r="D17" i="23"/>
  <c r="E16" i="23"/>
  <c r="F16" i="23" s="1"/>
  <c r="D16" i="23"/>
  <c r="E15" i="23"/>
  <c r="F15" i="23" s="1"/>
  <c r="D15" i="23"/>
  <c r="E14" i="23"/>
  <c r="F14" i="23" s="1"/>
  <c r="D14" i="23"/>
  <c r="E13" i="23"/>
  <c r="F13" i="23" s="1"/>
  <c r="D13" i="23"/>
  <c r="E12" i="23"/>
  <c r="F12" i="23" s="1"/>
  <c r="D12" i="23"/>
  <c r="E11" i="23"/>
  <c r="F11" i="23" s="1"/>
  <c r="D11" i="23"/>
  <c r="E10" i="23"/>
  <c r="F10" i="23" s="1"/>
  <c r="D10" i="23"/>
  <c r="E9" i="23"/>
  <c r="F9" i="23" s="1"/>
  <c r="D9" i="23"/>
  <c r="E8" i="23"/>
  <c r="F8" i="23" s="1"/>
  <c r="D8" i="23"/>
  <c r="E7" i="23"/>
  <c r="F7" i="23" s="1"/>
  <c r="D7" i="23"/>
  <c r="E6" i="23"/>
  <c r="F6" i="23" s="1"/>
  <c r="D6" i="23"/>
  <c r="I34" i="22"/>
  <c r="E30" i="22"/>
  <c r="F30" i="22" s="1"/>
  <c r="D30" i="22"/>
  <c r="E29" i="22"/>
  <c r="F29" i="22" s="1"/>
  <c r="D29" i="22"/>
  <c r="E28" i="22"/>
  <c r="F28" i="22" s="1"/>
  <c r="D28" i="22"/>
  <c r="E27" i="22"/>
  <c r="F27" i="22" s="1"/>
  <c r="D27" i="22"/>
  <c r="E26" i="22"/>
  <c r="F26" i="22" s="1"/>
  <c r="D26" i="22"/>
  <c r="E25" i="22"/>
  <c r="F25" i="22" s="1"/>
  <c r="D25" i="22"/>
  <c r="E24" i="22"/>
  <c r="F24" i="22" s="1"/>
  <c r="D24" i="22"/>
  <c r="E23" i="22"/>
  <c r="F23" i="22" s="1"/>
  <c r="D23" i="22"/>
  <c r="E22" i="22"/>
  <c r="F22" i="22" s="1"/>
  <c r="D22" i="22"/>
  <c r="E21" i="22"/>
  <c r="F21" i="22" s="1"/>
  <c r="D21" i="22"/>
  <c r="E20" i="22"/>
  <c r="F20" i="22" s="1"/>
  <c r="D20" i="22"/>
  <c r="E19" i="22"/>
  <c r="F19" i="22" s="1"/>
  <c r="D19" i="22"/>
  <c r="E18" i="22"/>
  <c r="F18" i="22" s="1"/>
  <c r="D18" i="22"/>
  <c r="E17" i="22"/>
  <c r="F17" i="22" s="1"/>
  <c r="D17" i="22"/>
  <c r="E16" i="22"/>
  <c r="F16" i="22" s="1"/>
  <c r="D16" i="22"/>
  <c r="E15" i="22"/>
  <c r="F15" i="22" s="1"/>
  <c r="D15" i="22"/>
  <c r="E14" i="22"/>
  <c r="F14" i="22" s="1"/>
  <c r="D14" i="22"/>
  <c r="E13" i="22"/>
  <c r="F13" i="22" s="1"/>
  <c r="D13" i="22"/>
  <c r="E12" i="22"/>
  <c r="F12" i="22" s="1"/>
  <c r="D12" i="22"/>
  <c r="E11" i="22"/>
  <c r="F11" i="22" s="1"/>
  <c r="D11" i="22"/>
  <c r="E10" i="22"/>
  <c r="F10" i="22" s="1"/>
  <c r="D10" i="22"/>
  <c r="E9" i="22"/>
  <c r="F9" i="22" s="1"/>
  <c r="D9" i="22"/>
  <c r="E8" i="22"/>
  <c r="F8" i="22" s="1"/>
  <c r="D8" i="22"/>
  <c r="E7" i="22"/>
  <c r="F7" i="22" s="1"/>
  <c r="D7" i="22"/>
  <c r="E6" i="22"/>
  <c r="F6" i="22" s="1"/>
  <c r="D6" i="22"/>
  <c r="I34" i="21"/>
  <c r="E30" i="21"/>
  <c r="F30" i="21" s="1"/>
  <c r="D30" i="21"/>
  <c r="E29" i="21"/>
  <c r="F29" i="21" s="1"/>
  <c r="D29" i="21"/>
  <c r="E28" i="21"/>
  <c r="F28" i="21" s="1"/>
  <c r="D28" i="21"/>
  <c r="E27" i="21"/>
  <c r="F27" i="21" s="1"/>
  <c r="D27" i="21"/>
  <c r="E26" i="21"/>
  <c r="F26" i="21" s="1"/>
  <c r="D26" i="21"/>
  <c r="E25" i="21"/>
  <c r="F25" i="21" s="1"/>
  <c r="D25" i="21"/>
  <c r="E24" i="21"/>
  <c r="F24" i="21" s="1"/>
  <c r="D24" i="21"/>
  <c r="E23" i="21"/>
  <c r="F23" i="21" s="1"/>
  <c r="D23" i="21"/>
  <c r="E22" i="21"/>
  <c r="F22" i="21" s="1"/>
  <c r="D22" i="21"/>
  <c r="E21" i="21"/>
  <c r="F21" i="21" s="1"/>
  <c r="D21" i="21"/>
  <c r="E20" i="21"/>
  <c r="F20" i="21" s="1"/>
  <c r="D20" i="21"/>
  <c r="E19" i="21"/>
  <c r="F19" i="21" s="1"/>
  <c r="D19" i="21"/>
  <c r="E18" i="21"/>
  <c r="F18" i="21" s="1"/>
  <c r="D18" i="21"/>
  <c r="E17" i="21"/>
  <c r="F17" i="21" s="1"/>
  <c r="D17" i="21"/>
  <c r="E16" i="21"/>
  <c r="F16" i="21" s="1"/>
  <c r="D16" i="21"/>
  <c r="E15" i="21"/>
  <c r="F15" i="21" s="1"/>
  <c r="D15" i="21"/>
  <c r="E14" i="21"/>
  <c r="F14" i="21" s="1"/>
  <c r="D14" i="21"/>
  <c r="E13" i="21"/>
  <c r="F13" i="21" s="1"/>
  <c r="D13" i="21"/>
  <c r="E12" i="21"/>
  <c r="F12" i="21" s="1"/>
  <c r="D12" i="21"/>
  <c r="E11" i="21"/>
  <c r="F11" i="21" s="1"/>
  <c r="D11" i="21"/>
  <c r="E10" i="21"/>
  <c r="F10" i="21" s="1"/>
  <c r="D10" i="21"/>
  <c r="E9" i="21"/>
  <c r="F9" i="21" s="1"/>
  <c r="D9" i="21"/>
  <c r="E8" i="21"/>
  <c r="F8" i="21" s="1"/>
  <c r="D8" i="21"/>
  <c r="E7" i="21"/>
  <c r="F7" i="21" s="1"/>
  <c r="D7" i="21"/>
  <c r="E6" i="21"/>
  <c r="F6" i="21" s="1"/>
  <c r="D6" i="21"/>
  <c r="I34" i="20"/>
  <c r="E30" i="20"/>
  <c r="F30" i="20" s="1"/>
  <c r="D30" i="20"/>
  <c r="E29" i="20"/>
  <c r="F29" i="20" s="1"/>
  <c r="D29" i="20"/>
  <c r="E28" i="20"/>
  <c r="F28" i="20" s="1"/>
  <c r="D28" i="20"/>
  <c r="E27" i="20"/>
  <c r="F27" i="20" s="1"/>
  <c r="D27" i="20"/>
  <c r="E26" i="20"/>
  <c r="F26" i="20" s="1"/>
  <c r="D26" i="20"/>
  <c r="E25" i="20"/>
  <c r="F25" i="20" s="1"/>
  <c r="D25" i="20"/>
  <c r="E24" i="20"/>
  <c r="F24" i="20" s="1"/>
  <c r="D24" i="20"/>
  <c r="E23" i="20"/>
  <c r="F23" i="20" s="1"/>
  <c r="D23" i="20"/>
  <c r="E22" i="20"/>
  <c r="F22" i="20" s="1"/>
  <c r="D22" i="20"/>
  <c r="E21" i="20"/>
  <c r="F21" i="20" s="1"/>
  <c r="D21" i="20"/>
  <c r="E20" i="20"/>
  <c r="F20" i="20" s="1"/>
  <c r="D20" i="20"/>
  <c r="E19" i="20"/>
  <c r="F19" i="20" s="1"/>
  <c r="D19" i="20"/>
  <c r="E18" i="20"/>
  <c r="F18" i="20" s="1"/>
  <c r="D18" i="20"/>
  <c r="E17" i="20"/>
  <c r="F17" i="20" s="1"/>
  <c r="D17" i="20"/>
  <c r="E16" i="20"/>
  <c r="F16" i="20" s="1"/>
  <c r="D16" i="20"/>
  <c r="E15" i="20"/>
  <c r="F15" i="20" s="1"/>
  <c r="D15" i="20"/>
  <c r="E14" i="20"/>
  <c r="F14" i="20" s="1"/>
  <c r="D14" i="20"/>
  <c r="E13" i="20"/>
  <c r="F13" i="20" s="1"/>
  <c r="D13" i="20"/>
  <c r="E12" i="20"/>
  <c r="F12" i="20" s="1"/>
  <c r="D12" i="20"/>
  <c r="E11" i="20"/>
  <c r="F11" i="20" s="1"/>
  <c r="D11" i="20"/>
  <c r="E10" i="20"/>
  <c r="F10" i="20" s="1"/>
  <c r="D10" i="20"/>
  <c r="E9" i="20"/>
  <c r="F9" i="20" s="1"/>
  <c r="D9" i="20"/>
  <c r="E8" i="20"/>
  <c r="F8" i="20" s="1"/>
  <c r="D8" i="20"/>
  <c r="E7" i="20"/>
  <c r="F7" i="20" s="1"/>
  <c r="D7" i="20"/>
  <c r="E6" i="20"/>
  <c r="F6" i="20" s="1"/>
  <c r="D6" i="20"/>
  <c r="I34" i="19"/>
  <c r="E30" i="19"/>
  <c r="F30" i="19" s="1"/>
  <c r="D30" i="19"/>
  <c r="E29" i="19"/>
  <c r="F29" i="19" s="1"/>
  <c r="D29" i="19"/>
  <c r="E28" i="19"/>
  <c r="F28" i="19" s="1"/>
  <c r="D28" i="19"/>
  <c r="E27" i="19"/>
  <c r="F27" i="19" s="1"/>
  <c r="D27" i="19"/>
  <c r="E26" i="19"/>
  <c r="F26" i="19" s="1"/>
  <c r="D26" i="19"/>
  <c r="E25" i="19"/>
  <c r="F25" i="19" s="1"/>
  <c r="D25" i="19"/>
  <c r="E24" i="19"/>
  <c r="F24" i="19" s="1"/>
  <c r="D24" i="19"/>
  <c r="E23" i="19"/>
  <c r="F23" i="19" s="1"/>
  <c r="D23" i="19"/>
  <c r="E22" i="19"/>
  <c r="F22" i="19" s="1"/>
  <c r="D22" i="19"/>
  <c r="E21" i="19"/>
  <c r="F21" i="19" s="1"/>
  <c r="D21" i="19"/>
  <c r="E20" i="19"/>
  <c r="F20" i="19" s="1"/>
  <c r="D20" i="19"/>
  <c r="E19" i="19"/>
  <c r="F19" i="19" s="1"/>
  <c r="D19" i="19"/>
  <c r="E18" i="19"/>
  <c r="F18" i="19" s="1"/>
  <c r="D18" i="19"/>
  <c r="E17" i="19"/>
  <c r="F17" i="19" s="1"/>
  <c r="D17" i="19"/>
  <c r="E16" i="19"/>
  <c r="F16" i="19" s="1"/>
  <c r="D16" i="19"/>
  <c r="E15" i="19"/>
  <c r="F15" i="19" s="1"/>
  <c r="D15" i="19"/>
  <c r="E14" i="19"/>
  <c r="F14" i="19" s="1"/>
  <c r="D14" i="19"/>
  <c r="E13" i="19"/>
  <c r="F13" i="19" s="1"/>
  <c r="D13" i="19"/>
  <c r="E12" i="19"/>
  <c r="F12" i="19" s="1"/>
  <c r="D12" i="19"/>
  <c r="E11" i="19"/>
  <c r="F11" i="19" s="1"/>
  <c r="D11" i="19"/>
  <c r="E10" i="19"/>
  <c r="F10" i="19" s="1"/>
  <c r="D10" i="19"/>
  <c r="E9" i="19"/>
  <c r="F9" i="19" s="1"/>
  <c r="D9" i="19"/>
  <c r="E8" i="19"/>
  <c r="F8" i="19" s="1"/>
  <c r="D8" i="19"/>
  <c r="E7" i="19"/>
  <c r="F7" i="19" s="1"/>
  <c r="D7" i="19"/>
  <c r="E6" i="19"/>
  <c r="F6" i="19" s="1"/>
  <c r="D6" i="19"/>
  <c r="I34" i="18"/>
  <c r="E30" i="18"/>
  <c r="F30" i="18" s="1"/>
  <c r="D30" i="18"/>
  <c r="E29" i="18"/>
  <c r="F29" i="18" s="1"/>
  <c r="D29" i="18"/>
  <c r="E28" i="18"/>
  <c r="F28" i="18" s="1"/>
  <c r="D28" i="18"/>
  <c r="E27" i="18"/>
  <c r="F27" i="18" s="1"/>
  <c r="D27" i="18"/>
  <c r="E26" i="18"/>
  <c r="F26" i="18" s="1"/>
  <c r="D26" i="18"/>
  <c r="E25" i="18"/>
  <c r="F25" i="18" s="1"/>
  <c r="D25" i="18"/>
  <c r="E24" i="18"/>
  <c r="F24" i="18" s="1"/>
  <c r="D24" i="18"/>
  <c r="E23" i="18"/>
  <c r="F23" i="18" s="1"/>
  <c r="D23" i="18"/>
  <c r="E22" i="18"/>
  <c r="F22" i="18" s="1"/>
  <c r="D22" i="18"/>
  <c r="E21" i="18"/>
  <c r="F21" i="18" s="1"/>
  <c r="D21" i="18"/>
  <c r="E20" i="18"/>
  <c r="F20" i="18" s="1"/>
  <c r="D20" i="18"/>
  <c r="E19" i="18"/>
  <c r="F19" i="18" s="1"/>
  <c r="D19" i="18"/>
  <c r="E18" i="18"/>
  <c r="F18" i="18" s="1"/>
  <c r="D18" i="18"/>
  <c r="E17" i="18"/>
  <c r="F17" i="18" s="1"/>
  <c r="D17" i="18"/>
  <c r="E16" i="18"/>
  <c r="F16" i="18" s="1"/>
  <c r="D16" i="18"/>
  <c r="E15" i="18"/>
  <c r="F15" i="18" s="1"/>
  <c r="D15" i="18"/>
  <c r="E14" i="18"/>
  <c r="F14" i="18" s="1"/>
  <c r="D14" i="18"/>
  <c r="E13" i="18"/>
  <c r="F13" i="18" s="1"/>
  <c r="D13" i="18"/>
  <c r="E12" i="18"/>
  <c r="F12" i="18" s="1"/>
  <c r="D12" i="18"/>
  <c r="E11" i="18"/>
  <c r="F11" i="18" s="1"/>
  <c r="D11" i="18"/>
  <c r="E10" i="18"/>
  <c r="F10" i="18" s="1"/>
  <c r="D10" i="18"/>
  <c r="E9" i="18"/>
  <c r="F9" i="18" s="1"/>
  <c r="D9" i="18"/>
  <c r="E8" i="18"/>
  <c r="F8" i="18" s="1"/>
  <c r="D8" i="18"/>
  <c r="E7" i="18"/>
  <c r="F7" i="18" s="1"/>
  <c r="D7" i="18"/>
  <c r="E6" i="18"/>
  <c r="F6" i="18" s="1"/>
  <c r="D6" i="18"/>
  <c r="I34" i="17"/>
  <c r="E30" i="17"/>
  <c r="F30" i="17" s="1"/>
  <c r="D30" i="17"/>
  <c r="E29" i="17"/>
  <c r="F29" i="17" s="1"/>
  <c r="D29" i="17"/>
  <c r="E28" i="17"/>
  <c r="F28" i="17" s="1"/>
  <c r="D28" i="17"/>
  <c r="E27" i="17"/>
  <c r="F27" i="17" s="1"/>
  <c r="D27" i="17"/>
  <c r="E26" i="17"/>
  <c r="F26" i="17" s="1"/>
  <c r="D26" i="17"/>
  <c r="E25" i="17"/>
  <c r="F25" i="17" s="1"/>
  <c r="D25" i="17"/>
  <c r="E24" i="17"/>
  <c r="F24" i="17" s="1"/>
  <c r="D24" i="17"/>
  <c r="E23" i="17"/>
  <c r="F23" i="17" s="1"/>
  <c r="D23" i="17"/>
  <c r="E22" i="17"/>
  <c r="F22" i="17" s="1"/>
  <c r="D22" i="17"/>
  <c r="E21" i="17"/>
  <c r="F21" i="17" s="1"/>
  <c r="D21" i="17"/>
  <c r="E20" i="17"/>
  <c r="F20" i="17" s="1"/>
  <c r="D20" i="17"/>
  <c r="E19" i="17"/>
  <c r="F19" i="17" s="1"/>
  <c r="D19" i="17"/>
  <c r="E18" i="17"/>
  <c r="F18" i="17" s="1"/>
  <c r="D18" i="17"/>
  <c r="E17" i="17"/>
  <c r="F17" i="17" s="1"/>
  <c r="D17" i="17"/>
  <c r="E16" i="17"/>
  <c r="F16" i="17" s="1"/>
  <c r="D16" i="17"/>
  <c r="E15" i="17"/>
  <c r="F15" i="17" s="1"/>
  <c r="D15" i="17"/>
  <c r="E14" i="17"/>
  <c r="F14" i="17" s="1"/>
  <c r="D14" i="17"/>
  <c r="E13" i="17"/>
  <c r="F13" i="17" s="1"/>
  <c r="D13" i="17"/>
  <c r="E12" i="17"/>
  <c r="F12" i="17" s="1"/>
  <c r="D12" i="17"/>
  <c r="E11" i="17"/>
  <c r="F11" i="17" s="1"/>
  <c r="D11" i="17"/>
  <c r="E10" i="17"/>
  <c r="F10" i="17" s="1"/>
  <c r="D10" i="17"/>
  <c r="E9" i="17"/>
  <c r="F9" i="17" s="1"/>
  <c r="D9" i="17"/>
  <c r="E8" i="17"/>
  <c r="F8" i="17" s="1"/>
  <c r="D8" i="17"/>
  <c r="E7" i="17"/>
  <c r="F7" i="17" s="1"/>
  <c r="D7" i="17"/>
  <c r="E6" i="17"/>
  <c r="F6" i="17" s="1"/>
  <c r="D6" i="17"/>
  <c r="I34" i="16"/>
  <c r="E30" i="16"/>
  <c r="F30" i="16" s="1"/>
  <c r="D30" i="16"/>
  <c r="E29" i="16"/>
  <c r="F29" i="16" s="1"/>
  <c r="D29" i="16"/>
  <c r="E28" i="16"/>
  <c r="F28" i="16" s="1"/>
  <c r="D28" i="16"/>
  <c r="E27" i="16"/>
  <c r="F27" i="16" s="1"/>
  <c r="D27" i="16"/>
  <c r="E26" i="16"/>
  <c r="F26" i="16" s="1"/>
  <c r="D26" i="16"/>
  <c r="E25" i="16"/>
  <c r="F25" i="16" s="1"/>
  <c r="D25" i="16"/>
  <c r="E24" i="16"/>
  <c r="F24" i="16" s="1"/>
  <c r="D24" i="16"/>
  <c r="E23" i="16"/>
  <c r="F23" i="16" s="1"/>
  <c r="D23" i="16"/>
  <c r="E22" i="16"/>
  <c r="F22" i="16" s="1"/>
  <c r="D22" i="16"/>
  <c r="E21" i="16"/>
  <c r="F21" i="16" s="1"/>
  <c r="D21" i="16"/>
  <c r="E20" i="16"/>
  <c r="F20" i="16" s="1"/>
  <c r="D20" i="16"/>
  <c r="E19" i="16"/>
  <c r="F19" i="16" s="1"/>
  <c r="D19" i="16"/>
  <c r="E18" i="16"/>
  <c r="F18" i="16" s="1"/>
  <c r="D18" i="16"/>
  <c r="E17" i="16"/>
  <c r="F17" i="16" s="1"/>
  <c r="D17" i="16"/>
  <c r="E16" i="16"/>
  <c r="F16" i="16" s="1"/>
  <c r="D16" i="16"/>
  <c r="E15" i="16"/>
  <c r="F15" i="16" s="1"/>
  <c r="D15" i="16"/>
  <c r="E14" i="16"/>
  <c r="F14" i="16" s="1"/>
  <c r="D14" i="16"/>
  <c r="E13" i="16"/>
  <c r="F13" i="16" s="1"/>
  <c r="D13" i="16"/>
  <c r="E12" i="16"/>
  <c r="F12" i="16" s="1"/>
  <c r="D12" i="16"/>
  <c r="E11" i="16"/>
  <c r="F11" i="16" s="1"/>
  <c r="D11" i="16"/>
  <c r="E10" i="16"/>
  <c r="F10" i="16" s="1"/>
  <c r="D10" i="16"/>
  <c r="E9" i="16"/>
  <c r="F9" i="16" s="1"/>
  <c r="D9" i="16"/>
  <c r="E8" i="16"/>
  <c r="F8" i="16" s="1"/>
  <c r="D8" i="16"/>
  <c r="E7" i="16"/>
  <c r="F7" i="16" s="1"/>
  <c r="D7" i="16"/>
  <c r="E6" i="16"/>
  <c r="F6" i="16" s="1"/>
  <c r="D6" i="16"/>
  <c r="I34" i="15"/>
  <c r="E30" i="15"/>
  <c r="F30" i="15" s="1"/>
  <c r="D30" i="15"/>
  <c r="E29" i="15"/>
  <c r="F29" i="15" s="1"/>
  <c r="D29" i="15"/>
  <c r="E28" i="15"/>
  <c r="F28" i="15" s="1"/>
  <c r="D28" i="15"/>
  <c r="E27" i="15"/>
  <c r="F27" i="15" s="1"/>
  <c r="D27" i="15"/>
  <c r="E26" i="15"/>
  <c r="F26" i="15" s="1"/>
  <c r="D26" i="15"/>
  <c r="E25" i="15"/>
  <c r="F25" i="15" s="1"/>
  <c r="D25" i="15"/>
  <c r="E24" i="15"/>
  <c r="F24" i="15" s="1"/>
  <c r="D24" i="15"/>
  <c r="E23" i="15"/>
  <c r="F23" i="15" s="1"/>
  <c r="D23" i="15"/>
  <c r="E22" i="15"/>
  <c r="F22" i="15" s="1"/>
  <c r="D22" i="15"/>
  <c r="E21" i="15"/>
  <c r="F21" i="15" s="1"/>
  <c r="D21" i="15"/>
  <c r="E20" i="15"/>
  <c r="F20" i="15" s="1"/>
  <c r="D20" i="15"/>
  <c r="E19" i="15"/>
  <c r="F19" i="15" s="1"/>
  <c r="D19" i="15"/>
  <c r="E18" i="15"/>
  <c r="F18" i="15" s="1"/>
  <c r="D18" i="15"/>
  <c r="E17" i="15"/>
  <c r="F17" i="15" s="1"/>
  <c r="D17" i="15"/>
  <c r="E16" i="15"/>
  <c r="F16" i="15" s="1"/>
  <c r="D16" i="15"/>
  <c r="E15" i="15"/>
  <c r="F15" i="15" s="1"/>
  <c r="D15" i="15"/>
  <c r="E14" i="15"/>
  <c r="F14" i="15" s="1"/>
  <c r="D14" i="15"/>
  <c r="E13" i="15"/>
  <c r="F13" i="15" s="1"/>
  <c r="D13" i="15"/>
  <c r="E12" i="15"/>
  <c r="F12" i="15" s="1"/>
  <c r="D12" i="15"/>
  <c r="E11" i="15"/>
  <c r="F11" i="15" s="1"/>
  <c r="D11" i="15"/>
  <c r="E10" i="15"/>
  <c r="F10" i="15" s="1"/>
  <c r="D10" i="15"/>
  <c r="E9" i="15"/>
  <c r="F9" i="15" s="1"/>
  <c r="D9" i="15"/>
  <c r="E8" i="15"/>
  <c r="F8" i="15" s="1"/>
  <c r="D8" i="15"/>
  <c r="E7" i="15"/>
  <c r="F7" i="15" s="1"/>
  <c r="D7" i="15"/>
  <c r="E6" i="15"/>
  <c r="F6" i="15" s="1"/>
  <c r="D6" i="15"/>
  <c r="I34" i="14"/>
  <c r="E30" i="14"/>
  <c r="F30" i="14" s="1"/>
  <c r="D30" i="14"/>
  <c r="E29" i="14"/>
  <c r="F29" i="14" s="1"/>
  <c r="D29" i="14"/>
  <c r="E28" i="14"/>
  <c r="F28" i="14" s="1"/>
  <c r="D28" i="14"/>
  <c r="E27" i="14"/>
  <c r="F27" i="14" s="1"/>
  <c r="D27" i="14"/>
  <c r="E26" i="14"/>
  <c r="F26" i="14" s="1"/>
  <c r="D26" i="14"/>
  <c r="E25" i="14"/>
  <c r="F25" i="14" s="1"/>
  <c r="D25" i="14"/>
  <c r="E24" i="14"/>
  <c r="F24" i="14" s="1"/>
  <c r="D24" i="14"/>
  <c r="E23" i="14"/>
  <c r="F23" i="14" s="1"/>
  <c r="D23" i="14"/>
  <c r="E22" i="14"/>
  <c r="F22" i="14" s="1"/>
  <c r="D22" i="14"/>
  <c r="E21" i="14"/>
  <c r="F21" i="14" s="1"/>
  <c r="D21" i="14"/>
  <c r="E20" i="14"/>
  <c r="F20" i="14" s="1"/>
  <c r="D20" i="14"/>
  <c r="E19" i="14"/>
  <c r="F19" i="14" s="1"/>
  <c r="D19" i="14"/>
  <c r="E18" i="14"/>
  <c r="F18" i="14" s="1"/>
  <c r="D18" i="14"/>
  <c r="E17" i="14"/>
  <c r="F17" i="14" s="1"/>
  <c r="D17" i="14"/>
  <c r="E16" i="14"/>
  <c r="F16" i="14" s="1"/>
  <c r="D16" i="14"/>
  <c r="E15" i="14"/>
  <c r="F15" i="14" s="1"/>
  <c r="D15" i="14"/>
  <c r="E14" i="14"/>
  <c r="F14" i="14" s="1"/>
  <c r="D14" i="14"/>
  <c r="E13" i="14"/>
  <c r="F13" i="14" s="1"/>
  <c r="D13" i="14"/>
  <c r="E12" i="14"/>
  <c r="F12" i="14" s="1"/>
  <c r="D12" i="14"/>
  <c r="E11" i="14"/>
  <c r="F11" i="14" s="1"/>
  <c r="D11" i="14"/>
  <c r="E10" i="14"/>
  <c r="F10" i="14" s="1"/>
  <c r="D10" i="14"/>
  <c r="E9" i="14"/>
  <c r="F9" i="14" s="1"/>
  <c r="D9" i="14"/>
  <c r="E8" i="14"/>
  <c r="F8" i="14" s="1"/>
  <c r="D8" i="14"/>
  <c r="E7" i="14"/>
  <c r="F7" i="14" s="1"/>
  <c r="D7" i="14"/>
  <c r="E6" i="14"/>
  <c r="F6" i="14" s="1"/>
  <c r="D6" i="14"/>
  <c r="I34" i="13"/>
  <c r="E30" i="13"/>
  <c r="F30" i="13" s="1"/>
  <c r="D30" i="13"/>
  <c r="E29" i="13"/>
  <c r="F29" i="13" s="1"/>
  <c r="D29" i="13"/>
  <c r="E28" i="13"/>
  <c r="F28" i="13" s="1"/>
  <c r="D28" i="13"/>
  <c r="E27" i="13"/>
  <c r="F27" i="13" s="1"/>
  <c r="D27" i="13"/>
  <c r="E26" i="13"/>
  <c r="F26" i="13" s="1"/>
  <c r="D26" i="13"/>
  <c r="E25" i="13"/>
  <c r="F25" i="13" s="1"/>
  <c r="D25" i="13"/>
  <c r="E24" i="13"/>
  <c r="F24" i="13" s="1"/>
  <c r="D24" i="13"/>
  <c r="E23" i="13"/>
  <c r="F23" i="13" s="1"/>
  <c r="D23" i="13"/>
  <c r="E22" i="13"/>
  <c r="F22" i="13" s="1"/>
  <c r="D22" i="13"/>
  <c r="E21" i="13"/>
  <c r="F21" i="13" s="1"/>
  <c r="D21" i="13"/>
  <c r="E20" i="13"/>
  <c r="F20" i="13" s="1"/>
  <c r="D20" i="13"/>
  <c r="E19" i="13"/>
  <c r="F19" i="13" s="1"/>
  <c r="D19" i="13"/>
  <c r="E18" i="13"/>
  <c r="F18" i="13" s="1"/>
  <c r="D18" i="13"/>
  <c r="E17" i="13"/>
  <c r="F17" i="13" s="1"/>
  <c r="D17" i="13"/>
  <c r="E16" i="13"/>
  <c r="F16" i="13" s="1"/>
  <c r="D16" i="13"/>
  <c r="E15" i="13"/>
  <c r="F15" i="13" s="1"/>
  <c r="D15" i="13"/>
  <c r="E14" i="13"/>
  <c r="F14" i="13" s="1"/>
  <c r="D14" i="13"/>
  <c r="E13" i="13"/>
  <c r="F13" i="13" s="1"/>
  <c r="D13" i="13"/>
  <c r="E12" i="13"/>
  <c r="F12" i="13" s="1"/>
  <c r="D12" i="13"/>
  <c r="E11" i="13"/>
  <c r="F11" i="13" s="1"/>
  <c r="D11" i="13"/>
  <c r="E10" i="13"/>
  <c r="F10" i="13" s="1"/>
  <c r="D10" i="13"/>
  <c r="E9" i="13"/>
  <c r="F9" i="13" s="1"/>
  <c r="D9" i="13"/>
  <c r="E8" i="13"/>
  <c r="F8" i="13" s="1"/>
  <c r="D8" i="13"/>
  <c r="E7" i="13"/>
  <c r="F7" i="13" s="1"/>
  <c r="D7" i="13"/>
  <c r="E6" i="13"/>
  <c r="F6" i="13" s="1"/>
  <c r="D6" i="13"/>
  <c r="I34" i="12"/>
  <c r="E30" i="12"/>
  <c r="F30" i="12" s="1"/>
  <c r="D30" i="12"/>
  <c r="E29" i="12"/>
  <c r="F29" i="12" s="1"/>
  <c r="D29" i="12"/>
  <c r="E28" i="12"/>
  <c r="F28" i="12" s="1"/>
  <c r="D28" i="12"/>
  <c r="E27" i="12"/>
  <c r="F27" i="12" s="1"/>
  <c r="D27" i="12"/>
  <c r="E26" i="12"/>
  <c r="F26" i="12" s="1"/>
  <c r="D26" i="12"/>
  <c r="E25" i="12"/>
  <c r="F25" i="12" s="1"/>
  <c r="D25" i="12"/>
  <c r="E24" i="12"/>
  <c r="F24" i="12" s="1"/>
  <c r="D24" i="12"/>
  <c r="E23" i="12"/>
  <c r="F23" i="12" s="1"/>
  <c r="D23" i="12"/>
  <c r="E22" i="12"/>
  <c r="F22" i="12" s="1"/>
  <c r="D22" i="12"/>
  <c r="E21" i="12"/>
  <c r="F21" i="12" s="1"/>
  <c r="D21" i="12"/>
  <c r="E20" i="12"/>
  <c r="F20" i="12" s="1"/>
  <c r="D20" i="12"/>
  <c r="E19" i="12"/>
  <c r="F19" i="12" s="1"/>
  <c r="D19" i="12"/>
  <c r="E18" i="12"/>
  <c r="F18" i="12" s="1"/>
  <c r="D18" i="12"/>
  <c r="E17" i="12"/>
  <c r="F17" i="12" s="1"/>
  <c r="D17" i="12"/>
  <c r="E16" i="12"/>
  <c r="F16" i="12" s="1"/>
  <c r="D16" i="12"/>
  <c r="E15" i="12"/>
  <c r="F15" i="12" s="1"/>
  <c r="D15" i="12"/>
  <c r="E14" i="12"/>
  <c r="F14" i="12" s="1"/>
  <c r="D14" i="12"/>
  <c r="E13" i="12"/>
  <c r="F13" i="12" s="1"/>
  <c r="D13" i="12"/>
  <c r="E12" i="12"/>
  <c r="F12" i="12" s="1"/>
  <c r="D12" i="12"/>
  <c r="E11" i="12"/>
  <c r="F11" i="12" s="1"/>
  <c r="D11" i="12"/>
  <c r="E10" i="12"/>
  <c r="F10" i="12" s="1"/>
  <c r="D10" i="12"/>
  <c r="E9" i="12"/>
  <c r="F9" i="12" s="1"/>
  <c r="D9" i="12"/>
  <c r="E8" i="12"/>
  <c r="F8" i="12" s="1"/>
  <c r="D8" i="12"/>
  <c r="E7" i="12"/>
  <c r="F7" i="12" s="1"/>
  <c r="D7" i="12"/>
  <c r="E6" i="12"/>
  <c r="F6" i="12" s="1"/>
  <c r="D6" i="12"/>
  <c r="I34" i="11"/>
  <c r="E30" i="11"/>
  <c r="F30" i="11" s="1"/>
  <c r="D30" i="11"/>
  <c r="E29" i="11"/>
  <c r="F29" i="11" s="1"/>
  <c r="D29" i="11"/>
  <c r="E28" i="11"/>
  <c r="F28" i="11" s="1"/>
  <c r="D28" i="11"/>
  <c r="E27" i="11"/>
  <c r="F27" i="11" s="1"/>
  <c r="D27" i="11"/>
  <c r="E26" i="11"/>
  <c r="F26" i="11" s="1"/>
  <c r="D26" i="11"/>
  <c r="E25" i="11"/>
  <c r="F25" i="11" s="1"/>
  <c r="D25" i="11"/>
  <c r="E24" i="11"/>
  <c r="F24" i="11" s="1"/>
  <c r="D24" i="11"/>
  <c r="E23" i="11"/>
  <c r="F23" i="11" s="1"/>
  <c r="D23" i="11"/>
  <c r="E22" i="11"/>
  <c r="F22" i="11" s="1"/>
  <c r="D22" i="11"/>
  <c r="E21" i="11"/>
  <c r="F21" i="11" s="1"/>
  <c r="D21" i="11"/>
  <c r="E20" i="11"/>
  <c r="F20" i="11" s="1"/>
  <c r="D20" i="11"/>
  <c r="E19" i="11"/>
  <c r="F19" i="11" s="1"/>
  <c r="D19" i="11"/>
  <c r="E18" i="11"/>
  <c r="F18" i="11" s="1"/>
  <c r="D18" i="11"/>
  <c r="E17" i="11"/>
  <c r="F17" i="11" s="1"/>
  <c r="D17" i="11"/>
  <c r="E16" i="11"/>
  <c r="F16" i="11" s="1"/>
  <c r="D16" i="11"/>
  <c r="E15" i="11"/>
  <c r="F15" i="11" s="1"/>
  <c r="D15" i="11"/>
  <c r="E14" i="11"/>
  <c r="F14" i="11" s="1"/>
  <c r="D14" i="11"/>
  <c r="E13" i="11"/>
  <c r="F13" i="11" s="1"/>
  <c r="D13" i="11"/>
  <c r="E12" i="11"/>
  <c r="F12" i="11" s="1"/>
  <c r="D12" i="11"/>
  <c r="E11" i="11"/>
  <c r="F11" i="11" s="1"/>
  <c r="D11" i="11"/>
  <c r="E10" i="11"/>
  <c r="F10" i="11" s="1"/>
  <c r="D10" i="11"/>
  <c r="E9" i="11"/>
  <c r="F9" i="11" s="1"/>
  <c r="D9" i="11"/>
  <c r="E8" i="11"/>
  <c r="F8" i="11" s="1"/>
  <c r="D8" i="11"/>
  <c r="E7" i="11"/>
  <c r="F7" i="11" s="1"/>
  <c r="D7" i="11"/>
  <c r="E6" i="11"/>
  <c r="F6" i="11" s="1"/>
  <c r="D6" i="11"/>
  <c r="I34" i="10"/>
  <c r="E30" i="10"/>
  <c r="F30" i="10" s="1"/>
  <c r="D30" i="10"/>
  <c r="E29" i="10"/>
  <c r="F29" i="10" s="1"/>
  <c r="D29" i="10"/>
  <c r="E28" i="10"/>
  <c r="F28" i="10" s="1"/>
  <c r="D28" i="10"/>
  <c r="E27" i="10"/>
  <c r="F27" i="10" s="1"/>
  <c r="D27" i="10"/>
  <c r="E26" i="10"/>
  <c r="F26" i="10" s="1"/>
  <c r="D26" i="10"/>
  <c r="E25" i="10"/>
  <c r="F25" i="10" s="1"/>
  <c r="D25" i="10"/>
  <c r="E24" i="10"/>
  <c r="F24" i="10" s="1"/>
  <c r="D24" i="10"/>
  <c r="E23" i="10"/>
  <c r="F23" i="10" s="1"/>
  <c r="D23" i="10"/>
  <c r="E22" i="10"/>
  <c r="F22" i="10" s="1"/>
  <c r="D22" i="10"/>
  <c r="E21" i="10"/>
  <c r="F21" i="10" s="1"/>
  <c r="D21" i="10"/>
  <c r="E20" i="10"/>
  <c r="F20" i="10" s="1"/>
  <c r="D20" i="10"/>
  <c r="E19" i="10"/>
  <c r="F19" i="10" s="1"/>
  <c r="D19" i="10"/>
  <c r="E18" i="10"/>
  <c r="F18" i="10" s="1"/>
  <c r="D18" i="10"/>
  <c r="E17" i="10"/>
  <c r="F17" i="10" s="1"/>
  <c r="D17" i="10"/>
  <c r="E16" i="10"/>
  <c r="F16" i="10" s="1"/>
  <c r="D16" i="10"/>
  <c r="E15" i="10"/>
  <c r="F15" i="10" s="1"/>
  <c r="D15" i="10"/>
  <c r="E14" i="10"/>
  <c r="F14" i="10" s="1"/>
  <c r="D14" i="10"/>
  <c r="E13" i="10"/>
  <c r="F13" i="10" s="1"/>
  <c r="D13" i="10"/>
  <c r="E12" i="10"/>
  <c r="F12" i="10" s="1"/>
  <c r="E11" i="10"/>
  <c r="F11" i="10" s="1"/>
  <c r="D11" i="10"/>
  <c r="E10" i="10"/>
  <c r="F10" i="10" s="1"/>
  <c r="D10" i="10"/>
  <c r="E9" i="10"/>
  <c r="F9" i="10" s="1"/>
  <c r="D9" i="10"/>
  <c r="E8" i="10"/>
  <c r="F8" i="10" s="1"/>
  <c r="D8" i="10"/>
  <c r="E7" i="10"/>
  <c r="F7" i="10" s="1"/>
  <c r="D7" i="10"/>
  <c r="E6" i="10"/>
  <c r="F6" i="10" s="1"/>
  <c r="D6" i="10"/>
  <c r="I34" i="9"/>
  <c r="E30" i="9"/>
  <c r="F30" i="9" s="1"/>
  <c r="D30" i="9"/>
  <c r="E29" i="9"/>
  <c r="F29" i="9" s="1"/>
  <c r="D29" i="9"/>
  <c r="E28" i="9"/>
  <c r="F28" i="9" s="1"/>
  <c r="D28" i="9"/>
  <c r="E27" i="9"/>
  <c r="F27" i="9" s="1"/>
  <c r="D27" i="9"/>
  <c r="E26" i="9"/>
  <c r="F26" i="9" s="1"/>
  <c r="D26" i="9"/>
  <c r="E25" i="9"/>
  <c r="F25" i="9" s="1"/>
  <c r="D25" i="9"/>
  <c r="E24" i="9"/>
  <c r="F24" i="9" s="1"/>
  <c r="D24" i="9"/>
  <c r="E23" i="9"/>
  <c r="F23" i="9" s="1"/>
  <c r="D23" i="9"/>
  <c r="E22" i="9"/>
  <c r="F22" i="9" s="1"/>
  <c r="D22" i="9"/>
  <c r="E21" i="9"/>
  <c r="F21" i="9" s="1"/>
  <c r="D21" i="9"/>
  <c r="E20" i="9"/>
  <c r="F20" i="9" s="1"/>
  <c r="D20" i="9"/>
  <c r="E19" i="9"/>
  <c r="F19" i="9" s="1"/>
  <c r="D19" i="9"/>
  <c r="E18" i="9"/>
  <c r="F18" i="9" s="1"/>
  <c r="D18" i="9"/>
  <c r="E17" i="9"/>
  <c r="F17" i="9" s="1"/>
  <c r="D17" i="9"/>
  <c r="E16" i="9"/>
  <c r="F16" i="9" s="1"/>
  <c r="D16" i="9"/>
  <c r="E15" i="9"/>
  <c r="F15" i="9" s="1"/>
  <c r="D15" i="9"/>
  <c r="E14" i="9"/>
  <c r="F14" i="9" s="1"/>
  <c r="D14" i="9"/>
  <c r="E13" i="9"/>
  <c r="F13" i="9" s="1"/>
  <c r="D13" i="9"/>
  <c r="E12" i="9"/>
  <c r="F12" i="9" s="1"/>
  <c r="D12" i="9"/>
  <c r="E11" i="9"/>
  <c r="F11" i="9" s="1"/>
  <c r="D11" i="9"/>
  <c r="E10" i="9"/>
  <c r="F10" i="9" s="1"/>
  <c r="D10" i="9"/>
  <c r="E9" i="9"/>
  <c r="F9" i="9" s="1"/>
  <c r="D9" i="9"/>
  <c r="E8" i="9"/>
  <c r="F8" i="9" s="1"/>
  <c r="D8" i="9"/>
  <c r="E7" i="9"/>
  <c r="F7" i="9" s="1"/>
  <c r="E6" i="9"/>
  <c r="F6" i="9" s="1"/>
  <c r="F63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4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24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5" i="7"/>
  <c r="F4" i="7"/>
  <c r="E7" i="6"/>
  <c r="E8" i="6"/>
  <c r="E9" i="6"/>
  <c r="E10" i="6"/>
  <c r="E11" i="6"/>
  <c r="E12" i="6"/>
  <c r="C67" i="7"/>
  <c r="B2" i="1"/>
  <c r="D34" i="74" l="1"/>
  <c r="E34" i="74" s="1"/>
  <c r="I7" i="74" s="1"/>
  <c r="D34" i="51"/>
  <c r="E34" i="51" s="1"/>
  <c r="I7" i="51" s="1"/>
  <c r="D34" i="20"/>
  <c r="E34" i="20" s="1"/>
  <c r="I7" i="20" s="1"/>
  <c r="D34" i="18"/>
  <c r="E34" i="18" s="1"/>
  <c r="I7" i="18" s="1"/>
  <c r="D34" i="25"/>
  <c r="E34" i="25" s="1"/>
  <c r="I7" i="25" s="1"/>
  <c r="D34" i="27"/>
  <c r="E34" i="27" s="1"/>
  <c r="I7" i="27" s="1"/>
  <c r="D34" i="77"/>
  <c r="E34" i="77" s="1"/>
  <c r="I7" i="77" s="1"/>
  <c r="D34" i="13"/>
  <c r="E34" i="13" s="1"/>
  <c r="I7" i="13" s="1"/>
  <c r="D34" i="59"/>
  <c r="E34" i="59" s="1"/>
  <c r="I7" i="59" s="1"/>
  <c r="D34" i="45"/>
  <c r="E34" i="45" s="1"/>
  <c r="I7" i="45" s="1"/>
  <c r="D34" i="16"/>
  <c r="E34" i="16" s="1"/>
  <c r="I7" i="16" s="1"/>
  <c r="D34" i="57"/>
  <c r="E34" i="57" s="1"/>
  <c r="I7" i="57" s="1"/>
  <c r="D34" i="49"/>
  <c r="E34" i="49" s="1"/>
  <c r="I7" i="49" s="1"/>
  <c r="D34" i="79"/>
  <c r="E34" i="79" s="1"/>
  <c r="I7" i="79" s="1"/>
  <c r="D34" i="22"/>
  <c r="E34" i="22" s="1"/>
  <c r="I7" i="22" s="1"/>
  <c r="D34" i="24"/>
  <c r="E34" i="24" s="1"/>
  <c r="I7" i="24" s="1"/>
  <c r="D34" i="26"/>
  <c r="E34" i="26" s="1"/>
  <c r="I7" i="26" s="1"/>
  <c r="D34" i="28"/>
  <c r="E34" i="28" s="1"/>
  <c r="I7" i="28" s="1"/>
  <c r="D34" i="30"/>
  <c r="E34" i="30" s="1"/>
  <c r="I7" i="30" s="1"/>
  <c r="D34" i="44"/>
  <c r="E34" i="44" s="1"/>
  <c r="I7" i="44" s="1"/>
  <c r="D34" i="46"/>
  <c r="E34" i="46" s="1"/>
  <c r="I7" i="46" s="1"/>
  <c r="D34" i="63"/>
  <c r="E34" i="63" s="1"/>
  <c r="I7" i="63" s="1"/>
  <c r="D34" i="65"/>
  <c r="E34" i="65" s="1"/>
  <c r="I7" i="65" s="1"/>
  <c r="D34" i="11"/>
  <c r="E34" i="11" s="1"/>
  <c r="I7" i="11" s="1"/>
  <c r="D34" i="69"/>
  <c r="E34" i="69" s="1"/>
  <c r="I7" i="69" s="1"/>
  <c r="D34" i="71"/>
  <c r="E34" i="71" s="1"/>
  <c r="I7" i="71" s="1"/>
  <c r="D34" i="76"/>
  <c r="E34" i="76" s="1"/>
  <c r="I7" i="76" s="1"/>
  <c r="D34" i="52"/>
  <c r="E34" i="52" s="1"/>
  <c r="I7" i="52" s="1"/>
  <c r="D34" i="56"/>
  <c r="E34" i="56" s="1"/>
  <c r="I7" i="56" s="1"/>
  <c r="D34" i="9"/>
  <c r="E34" i="9" s="1"/>
  <c r="D34" i="15"/>
  <c r="E34" i="15" s="1"/>
  <c r="I7" i="15" s="1"/>
  <c r="D34" i="54"/>
  <c r="E34" i="54" s="1"/>
  <c r="I7" i="54" s="1"/>
  <c r="D34" i="58"/>
  <c r="E34" i="58" s="1"/>
  <c r="I7" i="58" s="1"/>
  <c r="D34" i="67"/>
  <c r="E34" i="67" s="1"/>
  <c r="I7" i="67" s="1"/>
  <c r="D34" i="73"/>
  <c r="E34" i="73" s="1"/>
  <c r="I7" i="73" s="1"/>
  <c r="D34" i="48"/>
  <c r="E34" i="48" s="1"/>
  <c r="I7" i="48" s="1"/>
  <c r="D34" i="75"/>
  <c r="E34" i="75" s="1"/>
  <c r="I7" i="75" s="1"/>
  <c r="D34" i="17"/>
  <c r="E34" i="17" s="1"/>
  <c r="I7" i="17" s="1"/>
  <c r="D34" i="50"/>
  <c r="E34" i="50" s="1"/>
  <c r="I7" i="50" s="1"/>
  <c r="D34" i="60"/>
  <c r="E34" i="60" s="1"/>
  <c r="I7" i="60" s="1"/>
  <c r="D34" i="19"/>
  <c r="E34" i="19" s="1"/>
  <c r="I7" i="19" s="1"/>
  <c r="D34" i="29"/>
  <c r="E34" i="29" s="1"/>
  <c r="I7" i="29" s="1"/>
  <c r="D34" i="62"/>
  <c r="E34" i="62" s="1"/>
  <c r="I7" i="62" s="1"/>
  <c r="D34" i="64"/>
  <c r="E34" i="64" s="1"/>
  <c r="I7" i="64" s="1"/>
  <c r="D34" i="66"/>
  <c r="E34" i="66" s="1"/>
  <c r="I7" i="66" s="1"/>
  <c r="D34" i="78"/>
  <c r="E34" i="78" s="1"/>
  <c r="I7" i="78" s="1"/>
  <c r="D34" i="21"/>
  <c r="E34" i="21" s="1"/>
  <c r="I7" i="21" s="1"/>
  <c r="D34" i="23"/>
  <c r="E34" i="23" s="1"/>
  <c r="I7" i="23" s="1"/>
  <c r="D34" i="43"/>
  <c r="E34" i="43" s="1"/>
  <c r="I7" i="43" s="1"/>
  <c r="D34" i="72"/>
  <c r="E34" i="72" s="1"/>
  <c r="I7" i="72" s="1"/>
  <c r="D34" i="10"/>
  <c r="E34" i="10" s="1"/>
  <c r="D34" i="12"/>
  <c r="E34" i="12" s="1"/>
  <c r="I7" i="12" s="1"/>
  <c r="D34" i="70"/>
  <c r="E34" i="70" s="1"/>
  <c r="I7" i="70" s="1"/>
  <c r="D34" i="14"/>
  <c r="E34" i="14" s="1"/>
  <c r="I7" i="14" s="1"/>
  <c r="D34" i="47"/>
  <c r="E34" i="47" s="1"/>
  <c r="I7" i="47" s="1"/>
  <c r="D34" i="53"/>
  <c r="E34" i="53" s="1"/>
  <c r="I7" i="53" s="1"/>
  <c r="D34" i="55"/>
  <c r="E34" i="55" s="1"/>
  <c r="I7" i="55" s="1"/>
  <c r="D34" i="68"/>
  <c r="E34" i="68" s="1"/>
  <c r="I7" i="68" s="1"/>
  <c r="D34" i="61"/>
  <c r="E34" i="61" s="1"/>
  <c r="I7" i="61" s="1"/>
  <c r="F31" i="48"/>
  <c r="I6" i="48" s="1"/>
  <c r="F31" i="72"/>
  <c r="I6" i="72" s="1"/>
  <c r="F31" i="10"/>
  <c r="I6" i="10" s="1"/>
  <c r="F31" i="79"/>
  <c r="I6" i="79" s="1"/>
  <c r="F31" i="78"/>
  <c r="I6" i="78" s="1"/>
  <c r="F31" i="77"/>
  <c r="I6" i="77" s="1"/>
  <c r="F31" i="76"/>
  <c r="I6" i="76" s="1"/>
  <c r="F31" i="75"/>
  <c r="I6" i="75" s="1"/>
  <c r="F31" i="74"/>
  <c r="I6" i="74" s="1"/>
  <c r="F31" i="73"/>
  <c r="I6" i="73" s="1"/>
  <c r="F31" i="71"/>
  <c r="I6" i="71" s="1"/>
  <c r="F31" i="70"/>
  <c r="I6" i="70" s="1"/>
  <c r="F31" i="69"/>
  <c r="I6" i="69" s="1"/>
  <c r="F31" i="68"/>
  <c r="I6" i="68" s="1"/>
  <c r="F31" i="67"/>
  <c r="I6" i="67" s="1"/>
  <c r="F31" i="66"/>
  <c r="I6" i="66" s="1"/>
  <c r="F31" i="65"/>
  <c r="I6" i="65" s="1"/>
  <c r="F31" i="64"/>
  <c r="I6" i="64" s="1"/>
  <c r="F31" i="63"/>
  <c r="I6" i="63" s="1"/>
  <c r="F31" i="62"/>
  <c r="I6" i="62" s="1"/>
  <c r="F31" i="61"/>
  <c r="I6" i="61" s="1"/>
  <c r="F31" i="60"/>
  <c r="I6" i="60" s="1"/>
  <c r="F31" i="59"/>
  <c r="I6" i="59" s="1"/>
  <c r="F31" i="58"/>
  <c r="I6" i="58" s="1"/>
  <c r="F31" i="57"/>
  <c r="I6" i="57" s="1"/>
  <c r="F31" i="56"/>
  <c r="I6" i="56" s="1"/>
  <c r="F31" i="55"/>
  <c r="I6" i="55" s="1"/>
  <c r="F31" i="54"/>
  <c r="I6" i="54" s="1"/>
  <c r="F31" i="53"/>
  <c r="I6" i="53" s="1"/>
  <c r="F31" i="52"/>
  <c r="I6" i="52" s="1"/>
  <c r="F31" i="51"/>
  <c r="I6" i="51" s="1"/>
  <c r="F31" i="50"/>
  <c r="I6" i="50" s="1"/>
  <c r="F31" i="49"/>
  <c r="I6" i="49" s="1"/>
  <c r="F31" i="47"/>
  <c r="I6" i="47" s="1"/>
  <c r="F31" i="46"/>
  <c r="I6" i="46" s="1"/>
  <c r="F31" i="45"/>
  <c r="I6" i="45" s="1"/>
  <c r="F31" i="44"/>
  <c r="I6" i="44" s="1"/>
  <c r="F31" i="43"/>
  <c r="I6" i="43" s="1"/>
  <c r="F31" i="30"/>
  <c r="I6" i="30" s="1"/>
  <c r="F31" i="29"/>
  <c r="I6" i="29" s="1"/>
  <c r="F31" i="28"/>
  <c r="I6" i="28" s="1"/>
  <c r="F31" i="27"/>
  <c r="I6" i="27" s="1"/>
  <c r="F31" i="26"/>
  <c r="I6" i="26" s="1"/>
  <c r="F31" i="25"/>
  <c r="I6" i="25" s="1"/>
  <c r="F31" i="24"/>
  <c r="I6" i="24" s="1"/>
  <c r="F31" i="23"/>
  <c r="I6" i="23" s="1"/>
  <c r="F31" i="22"/>
  <c r="I6" i="22" s="1"/>
  <c r="F31" i="21"/>
  <c r="I6" i="21" s="1"/>
  <c r="F31" i="20"/>
  <c r="I6" i="20" s="1"/>
  <c r="F31" i="19"/>
  <c r="I6" i="19" s="1"/>
  <c r="F31" i="18"/>
  <c r="I6" i="18" s="1"/>
  <c r="F31" i="17"/>
  <c r="I6" i="17" s="1"/>
  <c r="F31" i="16"/>
  <c r="I6" i="16" s="1"/>
  <c r="F31" i="15"/>
  <c r="I6" i="15" s="1"/>
  <c r="F31" i="14"/>
  <c r="I6" i="14" s="1"/>
  <c r="F31" i="13"/>
  <c r="I6" i="13" s="1"/>
  <c r="F31" i="12"/>
  <c r="I6" i="12" s="1"/>
  <c r="F31" i="11"/>
  <c r="I6" i="11" s="1"/>
  <c r="F31" i="9"/>
  <c r="I6" i="9" s="1"/>
  <c r="I34" i="1"/>
  <c r="G64" i="7"/>
  <c r="D2" i="7" s="1"/>
  <c r="H62" i="7" s="1"/>
  <c r="D18" i="6"/>
  <c r="C18" i="6"/>
  <c r="E17" i="6"/>
  <c r="E16" i="6"/>
  <c r="E15" i="6"/>
  <c r="E14" i="6"/>
  <c r="E13" i="6"/>
  <c r="D12" i="1"/>
  <c r="E12" i="1"/>
  <c r="F12" i="1" s="1"/>
  <c r="D13" i="1"/>
  <c r="E13" i="1"/>
  <c r="F13" i="1" s="1"/>
  <c r="D14" i="1"/>
  <c r="E14" i="1"/>
  <c r="F14" i="1" s="1"/>
  <c r="D15" i="1"/>
  <c r="E15" i="1"/>
  <c r="F15" i="1" s="1"/>
  <c r="D16" i="1"/>
  <c r="E16" i="1"/>
  <c r="F16" i="1" s="1"/>
  <c r="D20" i="7" l="1"/>
  <c r="D36" i="7"/>
  <c r="D52" i="7"/>
  <c r="D22" i="7"/>
  <c r="D38" i="7"/>
  <c r="D7" i="7"/>
  <c r="D39" i="7"/>
  <c r="D19" i="7"/>
  <c r="D5" i="7"/>
  <c r="D21" i="7"/>
  <c r="D37" i="7"/>
  <c r="D53" i="7"/>
  <c r="D6" i="7"/>
  <c r="D54" i="7"/>
  <c r="D23" i="7"/>
  <c r="D55" i="7"/>
  <c r="D35" i="7"/>
  <c r="D8" i="7"/>
  <c r="D24" i="7"/>
  <c r="D40" i="7"/>
  <c r="D56" i="7"/>
  <c r="D26" i="7"/>
  <c r="D58" i="7"/>
  <c r="D17" i="7"/>
  <c r="D66" i="7"/>
  <c r="D9" i="7"/>
  <c r="D25" i="7"/>
  <c r="D41" i="7"/>
  <c r="D57" i="7"/>
  <c r="D10" i="7"/>
  <c r="D42" i="7"/>
  <c r="D33" i="7"/>
  <c r="D50" i="7"/>
  <c r="D4" i="7"/>
  <c r="D11" i="7"/>
  <c r="D27" i="7"/>
  <c r="D43" i="7"/>
  <c r="D59" i="7"/>
  <c r="D29" i="7"/>
  <c r="D45" i="7"/>
  <c r="D63" i="7"/>
  <c r="D48" i="7"/>
  <c r="D65" i="7"/>
  <c r="D12" i="7"/>
  <c r="D28" i="7"/>
  <c r="D44" i="7"/>
  <c r="D60" i="7"/>
  <c r="D13" i="7"/>
  <c r="D61" i="7"/>
  <c r="D16" i="7"/>
  <c r="D64" i="7"/>
  <c r="D18" i="7"/>
  <c r="D51" i="7"/>
  <c r="D14" i="7"/>
  <c r="D30" i="7"/>
  <c r="D46" i="7"/>
  <c r="D62" i="7"/>
  <c r="D15" i="7"/>
  <c r="D31" i="7"/>
  <c r="D47" i="7"/>
  <c r="D32" i="7"/>
  <c r="D49" i="7"/>
  <c r="D34" i="7"/>
  <c r="H11" i="7"/>
  <c r="H27" i="7"/>
  <c r="H43" i="7"/>
  <c r="H59" i="7"/>
  <c r="H12" i="7"/>
  <c r="H28" i="7"/>
  <c r="H44" i="7"/>
  <c r="H60" i="7"/>
  <c r="H13" i="7"/>
  <c r="H29" i="7"/>
  <c r="H45" i="7"/>
  <c r="H61" i="7"/>
  <c r="H57" i="7"/>
  <c r="H10" i="7"/>
  <c r="H14" i="7"/>
  <c r="H30" i="7"/>
  <c r="H46" i="7"/>
  <c r="H15" i="7"/>
  <c r="H31" i="7"/>
  <c r="H47" i="7"/>
  <c r="H63" i="7"/>
  <c r="H40" i="7"/>
  <c r="H16" i="7"/>
  <c r="H32" i="7"/>
  <c r="H48" i="7"/>
  <c r="H34" i="7"/>
  <c r="H35" i="7"/>
  <c r="H56" i="7"/>
  <c r="H9" i="7"/>
  <c r="H58" i="7"/>
  <c r="H17" i="7"/>
  <c r="H33" i="7"/>
  <c r="H49" i="7"/>
  <c r="H18" i="7"/>
  <c r="H50" i="7"/>
  <c r="H19" i="7"/>
  <c r="H51" i="7"/>
  <c r="H5" i="7"/>
  <c r="H20" i="7"/>
  <c r="H36" i="7"/>
  <c r="H52" i="7"/>
  <c r="H8" i="7"/>
  <c r="H25" i="7"/>
  <c r="H26" i="7"/>
  <c r="H4" i="7"/>
  <c r="H21" i="7"/>
  <c r="H37" i="7"/>
  <c r="H53" i="7"/>
  <c r="H6" i="7"/>
  <c r="H22" i="7"/>
  <c r="H38" i="7"/>
  <c r="H54" i="7"/>
  <c r="H7" i="7"/>
  <c r="H23" i="7"/>
  <c r="H39" i="7"/>
  <c r="H55" i="7"/>
  <c r="H24" i="7"/>
  <c r="H41" i="7"/>
  <c r="H42" i="7"/>
  <c r="I14" i="48"/>
  <c r="I14" i="72"/>
  <c r="I14" i="10"/>
  <c r="I14" i="79"/>
  <c r="I14" i="78"/>
  <c r="I14" i="77"/>
  <c r="I14" i="76"/>
  <c r="I14" i="75"/>
  <c r="I14" i="74"/>
  <c r="I14" i="73"/>
  <c r="I14" i="71"/>
  <c r="I14" i="70"/>
  <c r="I14" i="69"/>
  <c r="I14" i="68"/>
  <c r="I14" i="67"/>
  <c r="I14" i="66"/>
  <c r="I14" i="65"/>
  <c r="I14" i="64"/>
  <c r="I14" i="63"/>
  <c r="I14" i="62"/>
  <c r="I14" i="61"/>
  <c r="I14" i="60"/>
  <c r="I14" i="59"/>
  <c r="I14" i="58"/>
  <c r="I14" i="57"/>
  <c r="I14" i="56"/>
  <c r="I14" i="55"/>
  <c r="I14" i="54"/>
  <c r="I14" i="53"/>
  <c r="I14" i="52"/>
  <c r="I14" i="51"/>
  <c r="I14" i="50"/>
  <c r="I14" i="49"/>
  <c r="I14" i="47"/>
  <c r="I14" i="46"/>
  <c r="I14" i="45"/>
  <c r="I14" i="44"/>
  <c r="I14" i="43"/>
  <c r="I14" i="30"/>
  <c r="I14" i="29"/>
  <c r="I14" i="28"/>
  <c r="I14" i="27"/>
  <c r="I14" i="26"/>
  <c r="I14" i="25"/>
  <c r="I14" i="24"/>
  <c r="I14" i="23"/>
  <c r="I14" i="22"/>
  <c r="I14" i="21"/>
  <c r="I14" i="20"/>
  <c r="I14" i="19"/>
  <c r="I14" i="18"/>
  <c r="I14" i="17"/>
  <c r="I14" i="16"/>
  <c r="I14" i="15"/>
  <c r="I14" i="14"/>
  <c r="I14" i="13"/>
  <c r="I14" i="12"/>
  <c r="I14" i="11"/>
  <c r="I14" i="9"/>
  <c r="D34" i="1"/>
  <c r="E34" i="1" s="1"/>
  <c r="H64" i="7" l="1"/>
  <c r="H65" i="7" s="1"/>
  <c r="D67" i="7"/>
  <c r="I58" i="7" s="1"/>
  <c r="C37" i="74" s="1"/>
  <c r="I8" i="74" s="1"/>
  <c r="I9" i="74" s="1"/>
  <c r="I12" i="74" s="1"/>
  <c r="I13" i="74" s="1"/>
  <c r="I7" i="7" l="1"/>
  <c r="C37" i="11" s="1"/>
  <c r="I8" i="11" s="1"/>
  <c r="I9" i="11" s="1"/>
  <c r="I12" i="11" s="1"/>
  <c r="I13" i="11" s="1"/>
  <c r="I24" i="7"/>
  <c r="C37" i="28" s="1"/>
  <c r="I8" i="28" s="1"/>
  <c r="I9" i="28" s="1"/>
  <c r="I12" i="28" s="1"/>
  <c r="I13" i="28" s="1"/>
  <c r="I18" i="7"/>
  <c r="C37" i="22" s="1"/>
  <c r="I8" i="22" s="1"/>
  <c r="I9" i="22" s="1"/>
  <c r="I12" i="22" s="1"/>
  <c r="I13" i="22" s="1"/>
  <c r="I4" i="7"/>
  <c r="I34" i="7"/>
  <c r="C37" i="50" s="1"/>
  <c r="I8" i="50" s="1"/>
  <c r="I9" i="50" s="1"/>
  <c r="I12" i="50" s="1"/>
  <c r="I13" i="50" s="1"/>
  <c r="I57" i="7"/>
  <c r="C37" i="73" s="1"/>
  <c r="I8" i="73" s="1"/>
  <c r="I9" i="73" s="1"/>
  <c r="I12" i="73" s="1"/>
  <c r="I13" i="73" s="1"/>
  <c r="I8" i="7"/>
  <c r="C37" i="12" s="1"/>
  <c r="I8" i="12" s="1"/>
  <c r="I9" i="12" s="1"/>
  <c r="I12" i="12" s="1"/>
  <c r="I13" i="12" s="1"/>
  <c r="I29" i="7"/>
  <c r="C37" i="45" s="1"/>
  <c r="I8" i="45" s="1"/>
  <c r="I9" i="45" s="1"/>
  <c r="I12" i="45" s="1"/>
  <c r="I13" i="45" s="1"/>
  <c r="I40" i="7"/>
  <c r="C37" i="56" s="1"/>
  <c r="I8" i="56" s="1"/>
  <c r="I9" i="56" s="1"/>
  <c r="I12" i="56" s="1"/>
  <c r="I13" i="56" s="1"/>
  <c r="I41" i="7"/>
  <c r="C37" i="57" s="1"/>
  <c r="I8" i="57" s="1"/>
  <c r="I9" i="57" s="1"/>
  <c r="I12" i="57" s="1"/>
  <c r="I13" i="57" s="1"/>
  <c r="I31" i="7"/>
  <c r="C37" i="47" s="1"/>
  <c r="I8" i="47" s="1"/>
  <c r="I9" i="47" s="1"/>
  <c r="I12" i="47" s="1"/>
  <c r="I13" i="47" s="1"/>
  <c r="I23" i="7"/>
  <c r="C37" i="27" s="1"/>
  <c r="I8" i="27" s="1"/>
  <c r="I9" i="27" s="1"/>
  <c r="I12" i="27" s="1"/>
  <c r="I13" i="27" s="1"/>
  <c r="I45" i="7"/>
  <c r="C37" i="61" s="1"/>
  <c r="I8" i="61" s="1"/>
  <c r="I9" i="61" s="1"/>
  <c r="I12" i="61" s="1"/>
  <c r="I13" i="61" s="1"/>
  <c r="I14" i="7"/>
  <c r="C37" i="18" s="1"/>
  <c r="I8" i="18" s="1"/>
  <c r="I9" i="18" s="1"/>
  <c r="I12" i="18" s="1"/>
  <c r="I13" i="18" s="1"/>
  <c r="I60" i="7"/>
  <c r="C37" i="76" s="1"/>
  <c r="I8" i="76" s="1"/>
  <c r="I9" i="76" s="1"/>
  <c r="I12" i="76" s="1"/>
  <c r="I13" i="76" s="1"/>
  <c r="I27" i="7"/>
  <c r="C37" i="43" s="1"/>
  <c r="I8" i="43" s="1"/>
  <c r="I9" i="43" s="1"/>
  <c r="I12" i="43" s="1"/>
  <c r="I13" i="43" s="1"/>
  <c r="I21" i="7"/>
  <c r="C37" i="25" s="1"/>
  <c r="I8" i="25" s="1"/>
  <c r="I9" i="25" s="1"/>
  <c r="I12" i="25" s="1"/>
  <c r="I13" i="25" s="1"/>
  <c r="I16" i="7"/>
  <c r="C37" i="20" s="1"/>
  <c r="I8" i="20" s="1"/>
  <c r="I9" i="20" s="1"/>
  <c r="I12" i="20" s="1"/>
  <c r="I13" i="20" s="1"/>
  <c r="I62" i="7"/>
  <c r="C37" i="78" s="1"/>
  <c r="I8" i="78" s="1"/>
  <c r="I9" i="78" s="1"/>
  <c r="I12" i="78" s="1"/>
  <c r="I13" i="78" s="1"/>
  <c r="I12" i="7"/>
  <c r="C37" i="16" s="1"/>
  <c r="I8" i="16" s="1"/>
  <c r="I9" i="16" s="1"/>
  <c r="I12" i="16" s="1"/>
  <c r="I13" i="16" s="1"/>
  <c r="I20" i="7"/>
  <c r="C37" i="24" s="1"/>
  <c r="I8" i="24" s="1"/>
  <c r="I9" i="24" s="1"/>
  <c r="I12" i="24" s="1"/>
  <c r="I13" i="24" s="1"/>
  <c r="I49" i="7"/>
  <c r="C37" i="65" s="1"/>
  <c r="I8" i="65" s="1"/>
  <c r="I9" i="65" s="1"/>
  <c r="I12" i="65" s="1"/>
  <c r="I13" i="65" s="1"/>
  <c r="I47" i="7"/>
  <c r="C37" i="63" s="1"/>
  <c r="I8" i="63" s="1"/>
  <c r="I9" i="63" s="1"/>
  <c r="I12" i="63" s="1"/>
  <c r="I13" i="63" s="1"/>
  <c r="I39" i="7"/>
  <c r="C37" i="55" s="1"/>
  <c r="I8" i="55" s="1"/>
  <c r="I9" i="55" s="1"/>
  <c r="I12" i="55" s="1"/>
  <c r="I13" i="55" s="1"/>
  <c r="I52" i="7"/>
  <c r="C37" i="68" s="1"/>
  <c r="I8" i="68" s="1"/>
  <c r="I9" i="68" s="1"/>
  <c r="I12" i="68" s="1"/>
  <c r="I13" i="68" s="1"/>
  <c r="I9" i="7"/>
  <c r="C37" i="13" s="1"/>
  <c r="I8" i="13" s="1"/>
  <c r="I9" i="13" s="1"/>
  <c r="I12" i="13" s="1"/>
  <c r="I13" i="13" s="1"/>
  <c r="I13" i="7"/>
  <c r="C37" i="17" s="1"/>
  <c r="I8" i="17" s="1"/>
  <c r="I9" i="17" s="1"/>
  <c r="I12" i="17" s="1"/>
  <c r="I13" i="17" s="1"/>
  <c r="I61" i="7"/>
  <c r="C37" i="77" s="1"/>
  <c r="I8" i="77" s="1"/>
  <c r="I9" i="77" s="1"/>
  <c r="I12" i="77" s="1"/>
  <c r="I13" i="77" s="1"/>
  <c r="I37" i="7"/>
  <c r="C37" i="53" s="1"/>
  <c r="I8" i="53" s="1"/>
  <c r="I9" i="53" s="1"/>
  <c r="I12" i="53" s="1"/>
  <c r="I13" i="53" s="1"/>
  <c r="I48" i="7"/>
  <c r="C37" i="64" s="1"/>
  <c r="I8" i="64" s="1"/>
  <c r="I9" i="64" s="1"/>
  <c r="I12" i="64" s="1"/>
  <c r="I13" i="64" s="1"/>
  <c r="I5" i="7"/>
  <c r="C37" i="9" s="1"/>
  <c r="I9" i="9" s="1"/>
  <c r="I12" i="9" s="1"/>
  <c r="I13" i="9" s="1"/>
  <c r="I46" i="7"/>
  <c r="C37" i="62" s="1"/>
  <c r="I8" i="62" s="1"/>
  <c r="I9" i="62" s="1"/>
  <c r="I12" i="62" s="1"/>
  <c r="I13" i="62" s="1"/>
  <c r="I33" i="7"/>
  <c r="C37" i="49" s="1"/>
  <c r="I8" i="49" s="1"/>
  <c r="I9" i="49" s="1"/>
  <c r="I12" i="49" s="1"/>
  <c r="I13" i="49" s="1"/>
  <c r="I54" i="7"/>
  <c r="C37" i="70" s="1"/>
  <c r="I8" i="70" s="1"/>
  <c r="I9" i="70" s="1"/>
  <c r="I12" i="70" s="1"/>
  <c r="I13" i="70" s="1"/>
  <c r="I35" i="7"/>
  <c r="C37" i="51" s="1"/>
  <c r="I8" i="51" s="1"/>
  <c r="I9" i="51" s="1"/>
  <c r="I12" i="51" s="1"/>
  <c r="I13" i="51" s="1"/>
  <c r="I38" i="7"/>
  <c r="C37" i="54" s="1"/>
  <c r="I8" i="54" s="1"/>
  <c r="I9" i="54" s="1"/>
  <c r="I12" i="54" s="1"/>
  <c r="I13" i="54" s="1"/>
  <c r="I22" i="7"/>
  <c r="C37" i="26" s="1"/>
  <c r="I8" i="26" s="1"/>
  <c r="I9" i="26" s="1"/>
  <c r="I12" i="26" s="1"/>
  <c r="I13" i="26" s="1"/>
  <c r="I44" i="7"/>
  <c r="C37" i="60" s="1"/>
  <c r="I8" i="60" s="1"/>
  <c r="I9" i="60" s="1"/>
  <c r="I12" i="60" s="1"/>
  <c r="I13" i="60" s="1"/>
  <c r="I59" i="7"/>
  <c r="C37" i="75" s="1"/>
  <c r="I8" i="75" s="1"/>
  <c r="I9" i="75" s="1"/>
  <c r="I12" i="75" s="1"/>
  <c r="I13" i="75" s="1"/>
  <c r="I11" i="7"/>
  <c r="C37" i="15" s="1"/>
  <c r="I8" i="15" s="1"/>
  <c r="I9" i="15" s="1"/>
  <c r="I12" i="15" s="1"/>
  <c r="I13" i="15" s="1"/>
  <c r="I50" i="7"/>
  <c r="C37" i="66" s="1"/>
  <c r="I8" i="66" s="1"/>
  <c r="I9" i="66" s="1"/>
  <c r="I12" i="66" s="1"/>
  <c r="I13" i="66" s="1"/>
  <c r="I56" i="7"/>
  <c r="C37" i="72" s="1"/>
  <c r="I8" i="72" s="1"/>
  <c r="I9" i="72" s="1"/>
  <c r="I12" i="72" s="1"/>
  <c r="I13" i="72" s="1"/>
  <c r="I53" i="7"/>
  <c r="C37" i="69" s="1"/>
  <c r="I8" i="69" s="1"/>
  <c r="I9" i="69" s="1"/>
  <c r="I12" i="69" s="1"/>
  <c r="I13" i="69" s="1"/>
  <c r="I6" i="7"/>
  <c r="C37" i="10" s="1"/>
  <c r="I9" i="10" s="1"/>
  <c r="I12" i="10" s="1"/>
  <c r="I13" i="10" s="1"/>
  <c r="I19" i="7"/>
  <c r="C37" i="23" s="1"/>
  <c r="I8" i="23" s="1"/>
  <c r="I9" i="23" s="1"/>
  <c r="I12" i="23" s="1"/>
  <c r="I13" i="23" s="1"/>
  <c r="I30" i="7"/>
  <c r="C37" i="46" s="1"/>
  <c r="I8" i="46" s="1"/>
  <c r="I9" i="46" s="1"/>
  <c r="I12" i="46" s="1"/>
  <c r="I13" i="46" s="1"/>
  <c r="I32" i="7"/>
  <c r="C37" i="48" s="1"/>
  <c r="I8" i="48" s="1"/>
  <c r="I9" i="48" s="1"/>
  <c r="I12" i="48" s="1"/>
  <c r="I13" i="48" s="1"/>
  <c r="I17" i="7"/>
  <c r="C37" i="21" s="1"/>
  <c r="I8" i="21" s="1"/>
  <c r="I9" i="21" s="1"/>
  <c r="I12" i="21" s="1"/>
  <c r="I13" i="21" s="1"/>
  <c r="I28" i="7"/>
  <c r="C37" i="44" s="1"/>
  <c r="I8" i="44" s="1"/>
  <c r="I36" i="7"/>
  <c r="C37" i="52" s="1"/>
  <c r="I8" i="52" s="1"/>
  <c r="I9" i="52" s="1"/>
  <c r="I12" i="52" s="1"/>
  <c r="I13" i="52" s="1"/>
  <c r="I25" i="7"/>
  <c r="C37" i="29" s="1"/>
  <c r="I8" i="29" s="1"/>
  <c r="I9" i="29" s="1"/>
  <c r="I12" i="29" s="1"/>
  <c r="I13" i="29" s="1"/>
  <c r="I43" i="7"/>
  <c r="C37" i="59" s="1"/>
  <c r="I8" i="59" s="1"/>
  <c r="I9" i="59" s="1"/>
  <c r="I12" i="59" s="1"/>
  <c r="I13" i="59" s="1"/>
  <c r="I63" i="7"/>
  <c r="C37" i="79" s="1"/>
  <c r="I8" i="79" s="1"/>
  <c r="I9" i="79" s="1"/>
  <c r="I12" i="79" s="1"/>
  <c r="I13" i="79" s="1"/>
  <c r="I55" i="7"/>
  <c r="C37" i="71" s="1"/>
  <c r="I8" i="71" s="1"/>
  <c r="I9" i="71" s="1"/>
  <c r="I12" i="71" s="1"/>
  <c r="I13" i="71" s="1"/>
  <c r="I42" i="7"/>
  <c r="C37" i="58" s="1"/>
  <c r="I8" i="58" s="1"/>
  <c r="I9" i="58" s="1"/>
  <c r="I12" i="58" s="1"/>
  <c r="I13" i="58" s="1"/>
  <c r="I15" i="7"/>
  <c r="C37" i="19" s="1"/>
  <c r="I8" i="19" s="1"/>
  <c r="I9" i="19" s="1"/>
  <c r="I12" i="19" s="1"/>
  <c r="I13" i="19" s="1"/>
  <c r="I51" i="7"/>
  <c r="C37" i="67" s="1"/>
  <c r="I8" i="67" s="1"/>
  <c r="I9" i="67" s="1"/>
  <c r="I12" i="67" s="1"/>
  <c r="I13" i="67" s="1"/>
  <c r="I10" i="7"/>
  <c r="C37" i="14" s="1"/>
  <c r="I8" i="14" s="1"/>
  <c r="I9" i="14" s="1"/>
  <c r="I12" i="14" s="1"/>
  <c r="I13" i="14" s="1"/>
  <c r="I26" i="7"/>
  <c r="C37" i="30" s="1"/>
  <c r="I8" i="30" s="1"/>
  <c r="I9" i="30" s="1"/>
  <c r="I12" i="30" s="1"/>
  <c r="I13" i="30" s="1"/>
  <c r="D7" i="1"/>
  <c r="E7" i="1"/>
  <c r="F7" i="1" s="1"/>
  <c r="D8" i="1"/>
  <c r="E8" i="1"/>
  <c r="F8" i="1" s="1"/>
  <c r="D9" i="1"/>
  <c r="E9" i="1"/>
  <c r="F9" i="1" s="1"/>
  <c r="D10" i="1"/>
  <c r="E10" i="1"/>
  <c r="F10" i="1" s="1"/>
  <c r="D11" i="1"/>
  <c r="E11" i="1"/>
  <c r="F11" i="1" s="1"/>
  <c r="D17" i="1"/>
  <c r="E17" i="1"/>
  <c r="F17" i="1" s="1"/>
  <c r="D18" i="1"/>
  <c r="E18" i="1"/>
  <c r="F18" i="1" s="1"/>
  <c r="D19" i="1"/>
  <c r="E19" i="1"/>
  <c r="F19" i="1" s="1"/>
  <c r="D20" i="1"/>
  <c r="E20" i="1"/>
  <c r="F20" i="1" s="1"/>
  <c r="D21" i="1"/>
  <c r="E21" i="1"/>
  <c r="F21" i="1" s="1"/>
  <c r="D22" i="1"/>
  <c r="E22" i="1"/>
  <c r="F22" i="1" s="1"/>
  <c r="D23" i="1"/>
  <c r="E23" i="1"/>
  <c r="F23" i="1" s="1"/>
  <c r="D24" i="1"/>
  <c r="E24" i="1"/>
  <c r="F24" i="1" s="1"/>
  <c r="D25" i="1"/>
  <c r="E25" i="1"/>
  <c r="F25" i="1" s="1"/>
  <c r="D26" i="1"/>
  <c r="E26" i="1"/>
  <c r="F26" i="1" s="1"/>
  <c r="D27" i="1"/>
  <c r="E27" i="1"/>
  <c r="F27" i="1" s="1"/>
  <c r="D28" i="1"/>
  <c r="E28" i="1"/>
  <c r="F28" i="1" s="1"/>
  <c r="D29" i="1"/>
  <c r="E29" i="1"/>
  <c r="F29" i="1" s="1"/>
  <c r="D30" i="1"/>
  <c r="E30" i="1"/>
  <c r="F30" i="1" s="1"/>
  <c r="E6" i="1"/>
  <c r="F6" i="1" s="1"/>
  <c r="C37" i="1" l="1"/>
  <c r="I64" i="7"/>
  <c r="I65" i="7" s="1"/>
  <c r="F31" i="1"/>
  <c r="I6" i="1" s="1"/>
  <c r="I14" i="1" l="1"/>
  <c r="I9" i="1"/>
  <c r="I12" i="1" s="1"/>
  <c r="I13" i="1" s="1"/>
  <c r="I9" i="44"/>
  <c r="I12" i="44" s="1"/>
  <c r="I13" i="4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6F995A56-6CA9-44F7-B398-192F48156BB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6E953339-8B85-4DC8-BDA5-A5111FEC346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2CD9F02E-17EA-4C80-9745-62402BEC88C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71B2E4F5-C522-432E-B90D-15C781592CE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88D32F57-8FBD-43DD-8936-6CEC66AC207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FEFBBA59-14C5-49B9-8C55-91209F7B556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B04A3729-E5F3-4DCF-BE79-ED4A197E4DF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A7165EDB-A746-43FA-A85C-4EF44C636F9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09D7871B-ED0D-45CA-AC9C-F9BC2FB1D36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9792B2E8-76E0-4BD9-B531-A0E59EC49ED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944BEFE1-C21D-4DE5-8256-227786E3568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9FDA44AC-902F-4017-9D64-C382B935E74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796D2F2C-9371-45CE-8ECF-0C99FE5431B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13D33563-DFEC-453F-ADB6-0A63444ECF7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5DB7AB19-AC5E-4386-A124-B576B84F89C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5ECAB805-45AF-47BB-964F-15EC7A77E8D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CC2BB338-B4B4-4B26-A4AC-49397592974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376B570E-DE88-4570-9733-12126F83249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F7876ECC-8EF0-481F-A907-8F766782528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F7CD035D-AB95-4295-B582-507BD22E04B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2AFE6CB2-87C5-4977-890C-FD2F2FC34E6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440B695B-0EAA-4497-8FA8-F762A35C30E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EAA4257C-0282-4142-BA6D-90489978B58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9B1CD5E7-B00B-4D25-8C84-56B98416884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466AC15B-40AD-4291-8F69-30A8DA62F8A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00D4D3FA-F0F3-45DD-8F25-5086129FF5A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1026C2B3-9055-4E5E-A07B-86129346F64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2F63CF44-42BA-4F25-8C3A-8D4B2A678EE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2921CC76-EF06-4F09-9152-091C8C30EB8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83C6233D-8F78-459D-9BEE-3EAE692267A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166771E2-A783-4CE5-A294-72C7B7BCD6C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48BBD61B-46A4-4270-8045-267F7BD79FD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1332E4BE-38DB-4635-BB4B-A58D283A537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504570B9-9F58-4A40-8831-99E0F9FE2B0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A6436377-C994-4A23-B662-786EAFD794F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9EF255BB-1593-4A25-95E4-73626B568E4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0D378092-B747-4DFC-ACE6-E7F6552BB7A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B47028AB-C13E-4B0B-BB6A-72E89B31064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D587D454-DB66-4503-9F47-47BC6FD790F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3F1A8270-55A8-4794-8F11-599B8A043FE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8F9C30C4-494C-49A9-A777-10D94E803A6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DCFFA4B6-37FE-44C9-84CB-2F018B3378D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1F6698AE-912C-401A-9F1E-1408ECE2632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87670D2B-8AF3-4FFF-BDF2-88C70E65D3B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7F1FA2C2-6D48-4137-A578-EAF1B113E3A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AB0314E0-B340-4F1F-8A86-91828855D48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302BCEDF-26D7-4875-9FA0-A1B7870A36B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3CE5ED3C-5FA9-4724-8459-6D324EF0B97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1A4C68E5-D7B9-4D23-8AF6-243A79B7CB4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239E7970-A22A-4113-8985-CC127B9C071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31278DD1-F7A7-4FB4-95E3-262C53C41EB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C0F10016-FEE1-433A-8C67-AF7B8F8FFB2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31C4BC91-4122-4692-8E80-284B988214C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DB7A5933-E8E9-4B26-A5D3-C1B45F7326D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354A2789-E896-4564-83AF-6CE3549245C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EA66851D-E731-4268-99B6-284B7B9DD10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29B96ECB-B1CE-43BB-A0BC-F6AF6B5E407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53A8B7DE-1825-4473-A360-FF84AF14235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112050CD-EEC7-43D2-B81A-44085D5CD29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33" authorId="0" shapeId="0" xr:uid="{BE5046FD-D982-494A-B0C2-FD39A8C9D86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¿Cuánto te lleva hacer 1 unidad?
</t>
        </r>
      </text>
    </comment>
  </commentList>
</comments>
</file>

<file path=xl/sharedStrings.xml><?xml version="1.0" encoding="utf-8"?>
<sst xmlns="http://schemas.openxmlformats.org/spreadsheetml/2006/main" count="1759" uniqueCount="166">
  <si>
    <t>EN UNA HOJA ES TODO LO QUE TENGO EN LOCAL CON EL PRECIO EN PESOS PARA ACTUALIZAR POR SEMANA</t>
  </si>
  <si>
    <t>EN LA OTRA HOJA ES LA RECETA QUE OCUPAMOS. AUTOMATICAMENTE AL CAMBIAR EL PRECIO DE LAS VIANDAS DE LA PRIMERA HOJA, EN LA SEGUNDA SE ACTUALCE SOLO</t>
  </si>
  <si>
    <t>HOJA 1: PRECIO DE LOS PRODUCTOS</t>
  </si>
  <si>
    <t>HOJA 2: 5 MENUES DE VIANDAS: PRECIO Y TOTAL ABAJO. CANTIDAD. TOTAL DE 50 UNIDADES 80 UNIDADES Y 100 UNIDADES</t>
  </si>
  <si>
    <t>Precio unitario</t>
  </si>
  <si>
    <t>Cantidad</t>
  </si>
  <si>
    <t>Total</t>
  </si>
  <si>
    <t>U. medida</t>
  </si>
  <si>
    <t>Carnes</t>
  </si>
  <si>
    <t>Harina 0000</t>
  </si>
  <si>
    <t>Huevo</t>
  </si>
  <si>
    <t>Queso Cheddar</t>
  </si>
  <si>
    <t>Azucar</t>
  </si>
  <si>
    <t>KG</t>
  </si>
  <si>
    <t>UN</t>
  </si>
  <si>
    <t>Harinas</t>
  </si>
  <si>
    <t>Grasas</t>
  </si>
  <si>
    <t>Fiambres</t>
  </si>
  <si>
    <t>Panaderia</t>
  </si>
  <si>
    <t>Varios</t>
  </si>
  <si>
    <t>Descartables</t>
  </si>
  <si>
    <t>Almacen</t>
  </si>
  <si>
    <t>INGREDIENTES</t>
  </si>
  <si>
    <t>U. MEDIDA</t>
  </si>
  <si>
    <t>CATEGORÍA</t>
  </si>
  <si>
    <t xml:space="preserve">                                                                  INGREDIENTES PARA LAS RECETAS</t>
  </si>
  <si>
    <t>COSTO DE LOS INGREDIENTES</t>
  </si>
  <si>
    <t>Ingrediente</t>
  </si>
  <si>
    <t>COSTOS LABORALES</t>
  </si>
  <si>
    <t>EMPLEADOS</t>
  </si>
  <si>
    <t>Sueldo mensual</t>
  </si>
  <si>
    <t>Horas trabajadas en el mes</t>
  </si>
  <si>
    <t xml:space="preserve">Empleado 1 </t>
  </si>
  <si>
    <t>Empleado 2</t>
  </si>
  <si>
    <t>Sueldo personal</t>
  </si>
  <si>
    <t>PRODUCTO</t>
  </si>
  <si>
    <t>Horas x unidad</t>
  </si>
  <si>
    <t>Costo por hora</t>
  </si>
  <si>
    <t>MINUTOS</t>
  </si>
  <si>
    <t>HORAS</t>
  </si>
  <si>
    <t>CALCULADORA DE AYUDA</t>
  </si>
  <si>
    <t xml:space="preserve">              COSTOS FIJOS</t>
  </si>
  <si>
    <t>CONCEPTO</t>
  </si>
  <si>
    <t>Monto mensual</t>
  </si>
  <si>
    <t>Costo fijo por unidad</t>
  </si>
  <si>
    <t>% de los Costos fijos absorbidos</t>
  </si>
  <si>
    <t>Alquiler Local</t>
  </si>
  <si>
    <t>Servicios públicos</t>
  </si>
  <si>
    <t>Internet y telefonía fija</t>
  </si>
  <si>
    <t>Honorarios contador</t>
  </si>
  <si>
    <t>Honorarios legales</t>
  </si>
  <si>
    <t>Seguros</t>
  </si>
  <si>
    <t>Seguridad</t>
  </si>
  <si>
    <t>Expensas</t>
  </si>
  <si>
    <t>CONTROL</t>
  </si>
  <si>
    <t>RECETAS TOTALES PRODUCIDAS POR MES</t>
  </si>
  <si>
    <t>Recetas producidas en el mes</t>
  </si>
  <si>
    <t>MANO DE OBRA</t>
  </si>
  <si>
    <t>TOTAL</t>
  </si>
  <si>
    <t>COSTOS FIJOS</t>
  </si>
  <si>
    <t>Costo laboral:</t>
  </si>
  <si>
    <t>Costo fijo:</t>
  </si>
  <si>
    <t>Costo Total</t>
  </si>
  <si>
    <t>Precio de venta</t>
  </si>
  <si>
    <t>Utilidad en $</t>
  </si>
  <si>
    <t>Punto de equilibrio (u)</t>
  </si>
  <si>
    <t>Costo ingredientes:</t>
  </si>
  <si>
    <t>Nombre de la receta 4</t>
  </si>
  <si>
    <t>Nombre de la receta 5</t>
  </si>
  <si>
    <t>Nombre de la receta 6</t>
  </si>
  <si>
    <t>Nombre de la receta 7</t>
  </si>
  <si>
    <t>Nombre de la receta 8</t>
  </si>
  <si>
    <t>Nombre de la receta 9</t>
  </si>
  <si>
    <t>Nombre de la receta 10</t>
  </si>
  <si>
    <t>Nombre de la receta 11</t>
  </si>
  <si>
    <t>Nombre de la receta 12</t>
  </si>
  <si>
    <t>Nombre de la receta 13</t>
  </si>
  <si>
    <t>Nombre de la receta 14</t>
  </si>
  <si>
    <t>Nombre de la receta 15</t>
  </si>
  <si>
    <t>Nombre de la receta 16</t>
  </si>
  <si>
    <t>Nombre de la receta 17</t>
  </si>
  <si>
    <t>Nombre de la receta 18</t>
  </si>
  <si>
    <t>Nombre de la receta 19</t>
  </si>
  <si>
    <t>Nombre de la receta 20</t>
  </si>
  <si>
    <t>Nombre de la receta 21</t>
  </si>
  <si>
    <t>Nombre de la receta 22</t>
  </si>
  <si>
    <t>Nombre de la receta 23</t>
  </si>
  <si>
    <t>Nombre de la receta 24</t>
  </si>
  <si>
    <t>Nombre de la receta 25</t>
  </si>
  <si>
    <t>Nombre de la receta 26</t>
  </si>
  <si>
    <t>Nombre de la receta 27</t>
  </si>
  <si>
    <t>Nombre de la receta 28</t>
  </si>
  <si>
    <t>Nombre de la receta 29</t>
  </si>
  <si>
    <t>Nombre de la receta 30</t>
  </si>
  <si>
    <t>Nombre de la receta 31</t>
  </si>
  <si>
    <t>Nombre de la receta 32</t>
  </si>
  <si>
    <t>Nombre de la receta 33</t>
  </si>
  <si>
    <t>Nombre de la receta 34</t>
  </si>
  <si>
    <t>Nombre de la receta 35</t>
  </si>
  <si>
    <t>Nombre de la receta 36</t>
  </si>
  <si>
    <t>Nombre de la receta 37</t>
  </si>
  <si>
    <t>Nombre de la receta 38</t>
  </si>
  <si>
    <t>Nombre de la receta 39</t>
  </si>
  <si>
    <t>Nombre de la receta 40</t>
  </si>
  <si>
    <t>Nombre de la receta 41</t>
  </si>
  <si>
    <t>Nombre de la receta 42</t>
  </si>
  <si>
    <t>Nombre de la receta 43</t>
  </si>
  <si>
    <t>Nombre de la receta 44</t>
  </si>
  <si>
    <t>Nombre de la receta 45</t>
  </si>
  <si>
    <t>Nombre de la receta 46</t>
  </si>
  <si>
    <t>Nombre de la receta 47</t>
  </si>
  <si>
    <t>Nombre de la receta 48</t>
  </si>
  <si>
    <t>Nombre de la receta 49</t>
  </si>
  <si>
    <t>Nombre de la receta 50</t>
  </si>
  <si>
    <t>Nombre de la receta 51</t>
  </si>
  <si>
    <t>Nombre de la receta 52</t>
  </si>
  <si>
    <t>Nombre de la receta 53</t>
  </si>
  <si>
    <t>Nombre de la receta 54</t>
  </si>
  <si>
    <t>Nombre de la receta 55</t>
  </si>
  <si>
    <t>Nombre de la receta 56</t>
  </si>
  <si>
    <t>Nombre de la receta 57</t>
  </si>
  <si>
    <t>Nombre de la receta 58</t>
  </si>
  <si>
    <t>Nombre de la receta 59</t>
  </si>
  <si>
    <t>Nombre de la receta 60</t>
  </si>
  <si>
    <t>Costos fijos por receta</t>
  </si>
  <si>
    <t>RESUMEN FINAL</t>
  </si>
  <si>
    <t>PRECIO</t>
  </si>
  <si>
    <t>MANTECA</t>
  </si>
  <si>
    <t>DULCE DE LECHE FF</t>
  </si>
  <si>
    <t>AZUCAR RUBIA</t>
  </si>
  <si>
    <t>CHIPS BLACO</t>
  </si>
  <si>
    <t>HARINA LFEUDANTE</t>
  </si>
  <si>
    <t>NUTELA</t>
  </si>
  <si>
    <t xml:space="preserve">CHIPS NEGRFOS </t>
  </si>
  <si>
    <t>MINI OREO</t>
  </si>
  <si>
    <t>LACTEOS</t>
  </si>
  <si>
    <t>CHOCOLATE COBERTURA</t>
  </si>
  <si>
    <t>NUECES</t>
  </si>
  <si>
    <t>CACAO</t>
  </si>
  <si>
    <t>OREOS PAQUETE</t>
  </si>
  <si>
    <t>VAINILLA</t>
  </si>
  <si>
    <t xml:space="preserve">PASTA BON O BON </t>
  </si>
  <si>
    <t>BARRA BON O BON</t>
  </si>
  <si>
    <t>VICARBONATO</t>
  </si>
  <si>
    <t>PASTA NUTELA</t>
  </si>
  <si>
    <t>VINAGRE</t>
  </si>
  <si>
    <t>POLVO DE HORNEAR</t>
  </si>
  <si>
    <t>MAIZENA</t>
  </si>
  <si>
    <t>CREMA DE LECHE</t>
  </si>
  <si>
    <t>AZUCAR IMPALPABLE</t>
  </si>
  <si>
    <t>PASAS UVAS</t>
  </si>
  <si>
    <t>NARANJA 315</t>
  </si>
  <si>
    <t>LIMON</t>
  </si>
  <si>
    <t xml:space="preserve">HARINA INTEGRAL </t>
  </si>
  <si>
    <t>AZUCAR MASCABO</t>
  </si>
  <si>
    <t>CHOCOLATE COBERTURA BLANCO</t>
  </si>
  <si>
    <t>QUESO CREMA</t>
  </si>
  <si>
    <t>MAEMBRILLO</t>
  </si>
  <si>
    <t>ESENCIA DE VAINILLA</t>
  </si>
  <si>
    <t>ESPUMITA DE LIMON</t>
  </si>
  <si>
    <t>CARROT CAKE</t>
  </si>
  <si>
    <t xml:space="preserve">ACEITE DE OLIVA </t>
  </si>
  <si>
    <t>ACEITE MAIZ</t>
  </si>
  <si>
    <t>ZANAHORIA</t>
  </si>
  <si>
    <t>CANELA</t>
  </si>
  <si>
    <t>PEPAS INTEGRALES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</si>
</sst>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\ &quot;horas&quot;"/>
    <numFmt numFmtId="165" formatCode="0\ &quot;unidades&quot;"/>
    <numFmt numFmtId="166" formatCode="_-&quot;$&quot;\ * #,##0_-;\-&quot;$&quot;\ * #,##0_-;_-&quot;$&quot;\ * &quot;-&quot;??_-;_-@_-"/>
    <numFmt numFmtId="167" formatCode="0.00\ &quot;horas&quot;"/>
    <numFmt numFmtId="168" formatCode="_(&quot;$&quot;* #,##0.00_);_(&quot;$&quot;* \(#,##0.00\);_(&quot;$&quot;* &quot;-&quot;??_);_(@_)"/>
    <numFmt numFmtId="169" formatCode="0\ &quot;minutos&quot;"/>
    <numFmt numFmtId="170" formatCode="_(&quot;$&quot;* #,##0_);_(&quot;$&quot;* \(#,##0\);_(&quot;$&quot;* &quot;-&quot;??_);_(@_)"/>
    <numFmt numFmtId="171" formatCode="0.0\ &quot;horas&quot;"/>
    <numFmt numFmtId="172" formatCode="0.000\ &quot;horas&quot;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theme="1"/>
      <name val="Poppins"/>
    </font>
    <font>
      <sz val="11"/>
      <color theme="1"/>
      <name val="Poppins"/>
    </font>
    <font>
      <b/>
      <sz val="11"/>
      <color rgb="FFFFFFFF"/>
      <name val="Poppins"/>
    </font>
    <font>
      <b/>
      <sz val="16"/>
      <color rgb="FF7F6000"/>
      <name val="Poppins"/>
    </font>
    <font>
      <b/>
      <sz val="10"/>
      <color rgb="FF000000"/>
      <name val="Poppins"/>
    </font>
    <font>
      <b/>
      <sz val="12"/>
      <color rgb="FFFFFFFF"/>
      <name val="Poppin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FFFF"/>
      <name val="Poppins"/>
    </font>
    <font>
      <b/>
      <sz val="11"/>
      <color rgb="FF000000"/>
      <name val="Poppins"/>
    </font>
    <font>
      <b/>
      <sz val="12"/>
      <color rgb="FF000000"/>
      <name val="Poppins"/>
    </font>
    <font>
      <b/>
      <sz val="16"/>
      <color rgb="FF002060"/>
      <name val="Poppins"/>
    </font>
    <font>
      <b/>
      <sz val="11"/>
      <color theme="0"/>
      <name val="Poppins"/>
    </font>
    <font>
      <b/>
      <sz val="16"/>
      <color rgb="FF996600"/>
      <name val="Poppins"/>
    </font>
    <font>
      <sz val="10"/>
      <color theme="1"/>
      <name val="Poppins"/>
    </font>
    <font>
      <b/>
      <sz val="10"/>
      <color theme="1"/>
      <name val="Poppins"/>
    </font>
    <font>
      <b/>
      <sz val="18"/>
      <color rgb="FF7F6000"/>
      <name val="Poppins"/>
    </font>
    <font>
      <sz val="16"/>
      <color theme="0"/>
      <name val="Poppins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Poppins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rgb="FFFFF2CC"/>
      </patternFill>
    </fill>
    <fill>
      <patternFill patternType="solid">
        <fgColor theme="9" tint="0.59999389629810485"/>
        <bgColor rgb="FFFFF2CC"/>
      </patternFill>
    </fill>
    <fill>
      <patternFill patternType="solid">
        <fgColor theme="5" tint="0.59999389629810485"/>
        <bgColor rgb="FFFFF2CC"/>
      </patternFill>
    </fill>
    <fill>
      <patternFill patternType="solid">
        <fgColor theme="1" tint="4.9989318521683403E-2"/>
        <bgColor rgb="FF434343"/>
      </patternFill>
    </fill>
    <fill>
      <patternFill patternType="solid">
        <fgColor theme="3" tint="0.749992370372631"/>
        <bgColor rgb="FFFFF2CC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CCCCCC"/>
      </bottom>
      <diagonal/>
    </border>
    <border>
      <left/>
      <right style="medium">
        <color indexed="64"/>
      </right>
      <top style="thin">
        <color rgb="FFCCCCCC"/>
      </top>
      <bottom style="thin">
        <color rgb="FFCCCCCC"/>
      </bottom>
      <diagonal/>
    </border>
    <border>
      <left/>
      <right style="medium">
        <color indexed="64"/>
      </right>
      <top style="thin">
        <color rgb="FFCCCCCC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CCCCC"/>
      </bottom>
      <diagonal/>
    </border>
    <border>
      <left style="medium">
        <color indexed="64"/>
      </left>
      <right/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thin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CCCCCC"/>
      </top>
      <bottom/>
      <diagonal/>
    </border>
    <border>
      <left style="medium">
        <color indexed="64"/>
      </left>
      <right/>
      <top style="thin">
        <color rgb="FFCCCCCC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indexed="64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32">
    <xf numFmtId="0" fontId="0" fillId="0" borderId="0" xfId="0"/>
    <xf numFmtId="0" fontId="14" fillId="0" borderId="13" xfId="5" applyFont="1" applyBorder="1" applyAlignment="1">
      <alignment vertical="center"/>
    </xf>
    <xf numFmtId="0" fontId="13" fillId="2" borderId="12" xfId="0" applyFont="1" applyFill="1" applyBorder="1" applyAlignment="1">
      <alignment horizontal="center" vertical="center" wrapText="1"/>
    </xf>
    <xf numFmtId="0" fontId="4" fillId="0" borderId="0" xfId="0" applyFont="1"/>
    <xf numFmtId="0" fontId="15" fillId="0" borderId="0" xfId="0" applyFont="1"/>
    <xf numFmtId="0" fontId="4" fillId="0" borderId="0" xfId="0" applyFont="1" applyAlignment="1">
      <alignment horizontal="center"/>
    </xf>
    <xf numFmtId="44" fontId="4" fillId="0" borderId="0" xfId="1" applyFont="1"/>
    <xf numFmtId="0" fontId="12" fillId="2" borderId="12" xfId="0" applyFont="1" applyFill="1" applyBorder="1" applyAlignment="1">
      <alignment horizontal="center" vertical="center" wrapText="1"/>
    </xf>
    <xf numFmtId="0" fontId="16" fillId="0" borderId="0" xfId="5" applyFont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7" borderId="4" xfId="0" applyFont="1" applyFill="1" applyBorder="1"/>
    <xf numFmtId="0" fontId="4" fillId="7" borderId="0" xfId="0" applyFont="1" applyFill="1" applyAlignment="1">
      <alignment horizontal="center"/>
    </xf>
    <xf numFmtId="0" fontId="4" fillId="7" borderId="6" xfId="0" applyFont="1" applyFill="1" applyBorder="1"/>
    <xf numFmtId="0" fontId="4" fillId="7" borderId="7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168" fontId="4" fillId="0" borderId="15" xfId="0" applyNumberFormat="1" applyFont="1" applyBorder="1" applyAlignment="1">
      <alignment horizontal="center" vertical="center"/>
    </xf>
    <xf numFmtId="166" fontId="4" fillId="0" borderId="21" xfId="1" applyNumberFormat="1" applyFont="1" applyBorder="1" applyAlignment="1">
      <alignment horizontal="center" vertical="center"/>
    </xf>
    <xf numFmtId="168" fontId="4" fillId="0" borderId="16" xfId="0" applyNumberFormat="1" applyFont="1" applyBorder="1" applyAlignment="1">
      <alignment horizontal="center" vertical="center"/>
    </xf>
    <xf numFmtId="166" fontId="4" fillId="0" borderId="22" xfId="0" applyNumberFormat="1" applyFont="1" applyBorder="1" applyAlignment="1">
      <alignment horizontal="center" vertical="center"/>
    </xf>
    <xf numFmtId="168" fontId="4" fillId="0" borderId="17" xfId="0" applyNumberFormat="1" applyFont="1" applyBorder="1" applyAlignment="1">
      <alignment horizontal="center" vertical="center"/>
    </xf>
    <xf numFmtId="166" fontId="4" fillId="0" borderId="23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169" fontId="17" fillId="0" borderId="12" xfId="0" applyNumberFormat="1" applyFont="1" applyBorder="1" applyAlignment="1">
      <alignment horizontal="center" vertical="center"/>
    </xf>
    <xf numFmtId="167" fontId="17" fillId="0" borderId="12" xfId="0" applyNumberFormat="1" applyFont="1" applyBorder="1" applyAlignment="1">
      <alignment horizontal="center" vertical="center"/>
    </xf>
    <xf numFmtId="168" fontId="17" fillId="0" borderId="15" xfId="0" applyNumberFormat="1" applyFont="1" applyBorder="1" applyAlignment="1">
      <alignment horizontal="center" vertical="center"/>
    </xf>
    <xf numFmtId="166" fontId="17" fillId="0" borderId="21" xfId="1" applyNumberFormat="1" applyFont="1" applyBorder="1" applyAlignment="1">
      <alignment horizontal="center" vertical="center"/>
    </xf>
    <xf numFmtId="164" fontId="17" fillId="0" borderId="15" xfId="1" applyNumberFormat="1" applyFont="1" applyBorder="1" applyAlignment="1">
      <alignment horizontal="center" vertical="center"/>
    </xf>
    <xf numFmtId="166" fontId="18" fillId="0" borderId="18" xfId="1" applyNumberFormat="1" applyFont="1" applyBorder="1" applyAlignment="1">
      <alignment horizontal="center" vertical="center"/>
    </xf>
    <xf numFmtId="168" fontId="17" fillId="0" borderId="16" xfId="0" applyNumberFormat="1" applyFont="1" applyBorder="1" applyAlignment="1">
      <alignment horizontal="center" vertical="center"/>
    </xf>
    <xf numFmtId="166" fontId="17" fillId="0" borderId="22" xfId="0" applyNumberFormat="1" applyFont="1" applyBorder="1" applyAlignment="1">
      <alignment horizontal="center" vertical="center"/>
    </xf>
    <xf numFmtId="164" fontId="17" fillId="0" borderId="16" xfId="0" applyNumberFormat="1" applyFont="1" applyBorder="1" applyAlignment="1">
      <alignment horizontal="center" vertical="center"/>
    </xf>
    <xf numFmtId="166" fontId="18" fillId="0" borderId="19" xfId="0" applyNumberFormat="1" applyFont="1" applyBorder="1" applyAlignment="1">
      <alignment horizontal="center" vertical="center"/>
    </xf>
    <xf numFmtId="168" fontId="17" fillId="0" borderId="17" xfId="0" applyNumberFormat="1" applyFont="1" applyBorder="1" applyAlignment="1">
      <alignment horizontal="center" vertical="center"/>
    </xf>
    <xf numFmtId="166" fontId="17" fillId="0" borderId="23" xfId="0" applyNumberFormat="1" applyFont="1" applyBorder="1" applyAlignment="1">
      <alignment horizontal="center" vertical="center"/>
    </xf>
    <xf numFmtId="164" fontId="17" fillId="0" borderId="17" xfId="0" applyNumberFormat="1" applyFont="1" applyBorder="1" applyAlignment="1">
      <alignment horizontal="center" vertical="center"/>
    </xf>
    <xf numFmtId="166" fontId="18" fillId="0" borderId="20" xfId="0" applyNumberFormat="1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21" xfId="0" applyNumberFormat="1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168" fontId="4" fillId="0" borderId="24" xfId="0" applyNumberFormat="1" applyFont="1" applyBorder="1" applyAlignment="1">
      <alignment horizontal="center" vertical="center"/>
    </xf>
    <xf numFmtId="166" fontId="4" fillId="0" borderId="25" xfId="0" applyNumberFormat="1" applyFont="1" applyBorder="1" applyAlignment="1">
      <alignment horizontal="center" vertical="center"/>
    </xf>
    <xf numFmtId="165" fontId="4" fillId="0" borderId="23" xfId="0" applyNumberFormat="1" applyFont="1" applyBorder="1" applyAlignment="1">
      <alignment horizontal="center" vertical="center"/>
    </xf>
    <xf numFmtId="9" fontId="4" fillId="0" borderId="12" xfId="2" applyFont="1" applyFill="1" applyBorder="1" applyAlignment="1">
      <alignment horizontal="center" vertical="center"/>
    </xf>
    <xf numFmtId="166" fontId="4" fillId="0" borderId="0" xfId="0" applyNumberFormat="1" applyFont="1"/>
    <xf numFmtId="0" fontId="5" fillId="4" borderId="12" xfId="0" applyFont="1" applyFill="1" applyBorder="1" applyAlignment="1">
      <alignment horizontal="center" vertical="top" wrapText="1"/>
    </xf>
    <xf numFmtId="165" fontId="5" fillId="4" borderId="12" xfId="0" applyNumberFormat="1" applyFont="1" applyFill="1" applyBorder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9" fontId="12" fillId="0" borderId="0" xfId="0" applyNumberFormat="1" applyFont="1" applyAlignment="1">
      <alignment horizontal="center"/>
    </xf>
    <xf numFmtId="166" fontId="12" fillId="0" borderId="0" xfId="1" applyNumberFormat="1" applyFont="1" applyAlignment="1">
      <alignment horizontal="center"/>
    </xf>
    <xf numFmtId="166" fontId="12" fillId="0" borderId="12" xfId="0" applyNumberFormat="1" applyFont="1" applyBorder="1"/>
    <xf numFmtId="166" fontId="4" fillId="0" borderId="15" xfId="1" applyNumberFormat="1" applyFont="1" applyBorder="1" applyAlignment="1">
      <alignment horizontal="center" vertical="center"/>
    </xf>
    <xf numFmtId="166" fontId="4" fillId="0" borderId="16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4" fillId="0" borderId="17" xfId="0" applyNumberFormat="1" applyFont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8" borderId="0" xfId="0" applyFont="1" applyFill="1" applyAlignment="1">
      <alignment horizontal="center"/>
    </xf>
    <xf numFmtId="0" fontId="17" fillId="8" borderId="0" xfId="0" applyFont="1" applyFill="1"/>
    <xf numFmtId="44" fontId="4" fillId="0" borderId="12" xfId="1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5" fillId="3" borderId="6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166" fontId="4" fillId="6" borderId="0" xfId="1" applyNumberFormat="1" applyFont="1" applyFill="1" applyBorder="1"/>
    <xf numFmtId="166" fontId="4" fillId="6" borderId="5" xfId="1" applyNumberFormat="1" applyFont="1" applyFill="1" applyBorder="1"/>
    <xf numFmtId="166" fontId="4" fillId="6" borderId="7" xfId="1" applyNumberFormat="1" applyFont="1" applyFill="1" applyBorder="1"/>
    <xf numFmtId="166" fontId="4" fillId="6" borderId="8" xfId="1" applyNumberFormat="1" applyFont="1" applyFill="1" applyBorder="1"/>
    <xf numFmtId="166" fontId="3" fillId="0" borderId="26" xfId="1" applyNumberFormat="1" applyFont="1" applyBorder="1"/>
    <xf numFmtId="0" fontId="5" fillId="3" borderId="1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170" fontId="4" fillId="0" borderId="27" xfId="0" applyNumberFormat="1" applyFont="1" applyBorder="1" applyAlignment="1">
      <alignment horizontal="center" vertical="center"/>
    </xf>
    <xf numFmtId="170" fontId="4" fillId="0" borderId="14" xfId="0" applyNumberFormat="1" applyFont="1" applyBorder="1" applyAlignment="1">
      <alignment horizontal="center" vertical="center"/>
    </xf>
    <xf numFmtId="170" fontId="3" fillId="11" borderId="14" xfId="0" applyNumberFormat="1" applyFont="1" applyFill="1" applyBorder="1" applyAlignment="1">
      <alignment horizontal="center" vertical="center"/>
    </xf>
    <xf numFmtId="166" fontId="3" fillId="10" borderId="14" xfId="1" applyNumberFormat="1" applyFont="1" applyFill="1" applyBorder="1" applyAlignment="1">
      <alignment horizontal="right" vertical="center"/>
    </xf>
    <xf numFmtId="9" fontId="3" fillId="10" borderId="28" xfId="2" applyFont="1" applyFill="1" applyBorder="1" applyAlignment="1">
      <alignment horizontal="center" vertical="center"/>
    </xf>
    <xf numFmtId="0" fontId="17" fillId="0" borderId="1" xfId="0" applyFont="1" applyBorder="1"/>
    <xf numFmtId="0" fontId="17" fillId="0" borderId="2" xfId="0" applyFont="1" applyBorder="1"/>
    <xf numFmtId="0" fontId="17" fillId="0" borderId="3" xfId="0" applyFont="1" applyBorder="1"/>
    <xf numFmtId="0" fontId="17" fillId="0" borderId="4" xfId="0" applyFont="1" applyBorder="1"/>
    <xf numFmtId="0" fontId="17" fillId="0" borderId="5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0" borderId="8" xfId="0" applyFont="1" applyBorder="1"/>
    <xf numFmtId="166" fontId="12" fillId="0" borderId="26" xfId="0" applyNumberFormat="1" applyFont="1" applyBorder="1"/>
    <xf numFmtId="164" fontId="12" fillId="0" borderId="26" xfId="0" applyNumberFormat="1" applyFont="1" applyBorder="1" applyAlignment="1">
      <alignment horizontal="center"/>
    </xf>
    <xf numFmtId="44" fontId="17" fillId="0" borderId="16" xfId="1" applyFont="1" applyBorder="1" applyAlignment="1">
      <alignment horizontal="center" vertical="center"/>
    </xf>
    <xf numFmtId="44" fontId="17" fillId="0" borderId="15" xfId="1" applyFont="1" applyBorder="1" applyAlignment="1">
      <alignment horizontal="center" vertical="center"/>
    </xf>
    <xf numFmtId="44" fontId="17" fillId="0" borderId="17" xfId="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44" fontId="3" fillId="0" borderId="11" xfId="0" applyNumberFormat="1" applyFont="1" applyBorder="1" applyAlignment="1">
      <alignment vertic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165" fontId="3" fillId="9" borderId="14" xfId="1" applyNumberFormat="1" applyFont="1" applyFill="1" applyBorder="1" applyAlignment="1">
      <alignment horizontal="right" vertical="center"/>
    </xf>
    <xf numFmtId="170" fontId="3" fillId="13" borderId="14" xfId="0" applyNumberFormat="1" applyFont="1" applyFill="1" applyBorder="1" applyAlignment="1">
      <alignment horizontal="center" vertical="center"/>
    </xf>
    <xf numFmtId="0" fontId="23" fillId="8" borderId="0" xfId="9" applyFont="1" applyFill="1"/>
    <xf numFmtId="0" fontId="23" fillId="0" borderId="0" xfId="9" applyFont="1"/>
    <xf numFmtId="171" fontId="17" fillId="7" borderId="12" xfId="0" applyNumberFormat="1" applyFont="1" applyFill="1" applyBorder="1" applyAlignment="1">
      <alignment horizontal="center" vertical="center"/>
    </xf>
    <xf numFmtId="44" fontId="4" fillId="0" borderId="15" xfId="1" applyFont="1" applyBorder="1" applyAlignment="1">
      <alignment horizontal="center" vertical="center"/>
    </xf>
    <xf numFmtId="44" fontId="4" fillId="0" borderId="16" xfId="1" applyFont="1" applyBorder="1" applyAlignment="1">
      <alignment horizontal="center" vertical="center"/>
    </xf>
    <xf numFmtId="44" fontId="4" fillId="0" borderId="17" xfId="1" applyFont="1" applyBorder="1" applyAlignment="1">
      <alignment horizontal="center" vertical="center"/>
    </xf>
    <xf numFmtId="44" fontId="12" fillId="0" borderId="26" xfId="0" applyNumberFormat="1" applyFont="1" applyBorder="1"/>
    <xf numFmtId="10" fontId="4" fillId="0" borderId="21" xfId="2" applyNumberFormat="1" applyFont="1" applyBorder="1" applyAlignment="1">
      <alignment horizontal="center" vertical="center"/>
    </xf>
    <xf numFmtId="10" fontId="4" fillId="0" borderId="22" xfId="2" applyNumberFormat="1" applyFont="1" applyBorder="1" applyAlignment="1">
      <alignment horizontal="center" vertical="center"/>
    </xf>
    <xf numFmtId="10" fontId="4" fillId="0" borderId="23" xfId="2" applyNumberFormat="1" applyFont="1" applyBorder="1" applyAlignment="1">
      <alignment horizontal="center" vertical="center"/>
    </xf>
    <xf numFmtId="167" fontId="17" fillId="7" borderId="12" xfId="0" applyNumberFormat="1" applyFont="1" applyFill="1" applyBorder="1" applyAlignment="1">
      <alignment horizontal="center" vertical="center"/>
    </xf>
    <xf numFmtId="172" fontId="17" fillId="7" borderId="1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66" fontId="3" fillId="0" borderId="9" xfId="1" applyNumberFormat="1" applyFont="1" applyBorder="1" applyAlignment="1"/>
    <xf numFmtId="166" fontId="3" fillId="0" borderId="10" xfId="1" applyNumberFormat="1" applyFont="1" applyBorder="1" applyAlignment="1"/>
    <xf numFmtId="166" fontId="3" fillId="0" borderId="11" xfId="1" applyNumberFormat="1" applyFont="1" applyBorder="1" applyAlignment="1"/>
    <xf numFmtId="0" fontId="11" fillId="4" borderId="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8" fillId="12" borderId="10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20" fillId="5" borderId="0" xfId="0" applyFont="1" applyFill="1" applyAlignment="1">
      <alignment horizontal="center"/>
    </xf>
    <xf numFmtId="0" fontId="8" fillId="1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</cellXfs>
  <cellStyles count="10">
    <cellStyle name="Hipervínculo" xfId="9" builtinId="8"/>
    <cellStyle name="Millares 2" xfId="3" xr:uid="{4926CA4C-59DF-444B-9896-C358953848EA}"/>
    <cellStyle name="Millares 3" xfId="6" xr:uid="{556D57A4-B07B-4577-82EC-CF2456DF8CD1}"/>
    <cellStyle name="Moneda" xfId="1" builtinId="4"/>
    <cellStyle name="Moneda 2" xfId="4" xr:uid="{35DE17A8-B07B-41D7-8B0A-F51825C8037F}"/>
    <cellStyle name="Moneda 3" xfId="7" xr:uid="{2E126122-50BD-443A-A120-D5FFB29B227B}"/>
    <cellStyle name="Normal" xfId="0" builtinId="0"/>
    <cellStyle name="Normal 2" xfId="5" xr:uid="{B8F2B293-31FB-4BD3-8936-7E06BB9EDDEA}"/>
    <cellStyle name="Porcentaje" xfId="2" builtinId="5"/>
    <cellStyle name="Porcentaje 2" xfId="8" xr:uid="{00F09279-2EFA-4310-9760-1BEF6EFD297F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8F5BE"/>
      <color rgb="FFFFCC66"/>
      <color rgb="FF9966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'1'!$H$6:$H$8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'1'!$I$6:$I$8</c:f>
              <c:numCache>
                <c:formatCode>_("$"* #,##0_);_("$"* \(#,##0\);_("$"* "-"??_);_(@_)</c:formatCode>
                <c:ptCount val="3"/>
                <c:pt idx="0">
                  <c:v>6520.0439999999999</c:v>
                </c:pt>
                <c:pt idx="1">
                  <c:v>6000</c:v>
                </c:pt>
                <c:pt idx="2">
                  <c:v>4382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9-4BB8-B8DB-91EE7980B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'2'!$H$6:$H$8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'2'!$I$6:$I$8</c:f>
              <c:numCache>
                <c:formatCode>_("$"* #,##0_);_("$"* \(#,##0\);_("$"* "-"??_);_(@_)</c:formatCode>
                <c:ptCount val="3"/>
                <c:pt idx="0">
                  <c:v>10101.439999999999</c:v>
                </c:pt>
                <c:pt idx="1">
                  <c:v>6000</c:v>
                </c:pt>
                <c:pt idx="2">
                  <c:v>5635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A-4CAD-80E2-27CA9F41A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'3'!$H$6:$H$8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'3'!$I$6:$I$8</c:f>
              <c:numCache>
                <c:formatCode>_("$"* #,##0_);_("$"* \(#,##0\);_("$"* "-"??_);_(@_)</c:formatCode>
                <c:ptCount val="3"/>
                <c:pt idx="0">
                  <c:v>4908.915</c:v>
                </c:pt>
                <c:pt idx="1">
                  <c:v>6000</c:v>
                </c:pt>
                <c:pt idx="2">
                  <c:v>3820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6-40A6-AF25-20D5A5CAD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'4'!$H$6:$H$8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'4'!$I$6:$I$8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C-44C5-A501-004CBE587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'5'!$H$6:$H$8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'5'!$I$6:$I$8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8-45DB-8830-C54DAC793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'6'!$H$6:$H$8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'6'!$I$6:$I$8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7-4C13-B20A-C41E23B52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'7'!$H$6:$H$8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'7'!$I$6:$I$8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E-4AB2-A716-CF31AD4CF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'8'!$H$6:$H$8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'8'!$I$6:$I$8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D-4FA2-8098-174359044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'9'!$H$6:$H$8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'9'!$I$6:$I$8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6-4618-8E5E-5431D1EFB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'10'!$H$6:$H$8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'10'!$I$6:$I$8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F-482C-99EF-43E4A392A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'11'!$H$6:$H$8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'11'!$I$6:$I$8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5-491E-B2C9-0010E2C66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'12'!$H$6:$H$8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'12'!$I$6:$I$8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5-48D6-A1CD-E8930B88B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'13'!$H$6:$H$8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'13'!$I$6:$I$8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8-4888-80CB-3D86817C3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'14'!$H$6:$H$8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'14'!$I$6:$I$8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5-4550-8B64-B8AEE68D0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'15'!$H$6:$H$8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'15'!$I$6:$I$8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F-4EB0-A652-44BD68B7F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'16'!$H$6:$H$8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'16'!$I$6:$I$8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5-455E-8EFD-7B1159BA3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'17'!$H$6:$H$8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'17'!$I$6:$I$8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9-4410-9904-0C2524B20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'18'!$H$6:$H$8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'18'!$I$6:$I$8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B-498E-AA52-C4B45370C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'19'!$H$6:$H$8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'19'!$I$6:$I$8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9-492A-8717-2A3148C81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'20'!$H$6:$H$8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'20'!$I$6:$I$8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D-4C91-8332-860E8D5B4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'21'!$H$6:$H$8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'21'!$I$6:$I$8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1-45D0-9266-57415429F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'22'!$H$6:$H$8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'22'!$I$6:$I$8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1-4F92-90AD-9DB547F95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'23'!$H$6:$H$8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'23'!$I$6:$I$8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4-4754-A8CC-750968102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'24'!$H$6:$H$8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'24'!$I$6:$I$8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3-4B48-8E8B-A31BA95FD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'25'!$H$6:$H$8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'25'!$I$6:$I$8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9-4BA2-A287-0EE1133D5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'26'!$H$6:$H$8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'26'!$I$6:$I$8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D-488C-84A5-A1CB1316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'27'!$H$6:$H$8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'27'!$I$6:$I$8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F-40E8-ACB3-52DE603A4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'28'!$H$6:$H$8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'28'!$I$6:$I$8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B-4A13-A9C7-E5180F72C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'29'!$H$6:$H$8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'29'!$I$6:$I$8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6-4AFB-A501-0FCAC4288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'30'!$H$6:$H$8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'30'!$I$6:$I$8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0-46E8-A4EA-97A9FDF79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'31'!$H$6:$H$8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'31'!$I$6:$I$8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C-45FC-9CDE-D62BD85D9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'32'!$H$6:$H$8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'32'!$I$6:$I$8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8-4F6A-8EE1-DF766A4C4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'33'!$H$6:$H$8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'33'!$I$6:$I$8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8-4BC3-9A83-DCD09FCBB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'34'!$H$6:$H$8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'34'!$I$6:$I$8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8-4988-A786-9A36F1F7C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'35'!$H$6:$H$8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'35'!$I$6:$I$8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C-45A6-9C62-F928B4492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'36'!$H$6:$H$8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'36'!$I$6:$I$8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F-421A-9658-FD565361A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'37'!$H$6:$H$8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'37'!$I$6:$I$8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8-46E6-B16F-ECB59CD56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'38'!$H$6:$H$8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'38'!$I$6:$I$8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3-41CC-850C-7480F8D18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'39'!$H$6:$H$8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'39'!$I$6:$I$8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0-445A-8FD0-E78200493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'40'!$H$6:$H$8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'40'!$I$6:$I$8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F-4EB5-B4B0-331E55EBE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'41'!$H$6:$H$8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'41'!$I$6:$I$8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A-4C84-B961-9CDF14AAD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'42'!$H$6:$H$8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'42'!$I$6:$I$8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F-41BF-B76F-7243359E6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'43'!$H$6:$H$8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'43'!$I$6:$I$8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2-42FE-903C-503B3BCB5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'44'!$H$6:$H$8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'44'!$I$6:$I$8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A-4F8B-9ADC-BFDD69413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'45'!$H$6:$H$8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'45'!$I$6:$I$8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7-460D-8DFC-FACA1FD21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'46'!$H$6:$H$8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'46'!$I$6:$I$8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D-40A4-8BAE-567203060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'47'!$H$6:$H$8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'47'!$I$6:$I$8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4-40BE-97C0-918EDF29E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'48'!$H$6:$H$8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'48'!$I$6:$I$8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2-4FC3-9ABC-6FF2EF14E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'49'!$H$6:$H$8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'49'!$I$6:$I$8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A-41A5-9431-07337E608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'50'!$H$6:$H$8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'50'!$I$6:$I$8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B-4FF0-B355-B939E5265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'51'!$H$6:$H$8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'51'!$I$6:$I$8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0-4E2A-9FC7-AC2CA871C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'52'!$H$6:$H$8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'52'!$I$6:$I$8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B-46A2-8FC2-7133050C6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'53'!$H$6:$H$8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'53'!$I$6:$I$8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F-4DBC-9B1D-A940DCDE1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'54'!$H$6:$H$8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'54'!$I$6:$I$8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6-4940-A2B5-68B7BA431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'55'!$H$6:$H$8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'55'!$I$6:$I$8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F-4DEB-AF96-DBEB7A6E6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'56'!$H$6:$H$8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'56'!$I$6:$I$8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E-43EC-9524-FF5840695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'57'!$H$6:$H$8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'57'!$I$6:$I$8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9-49B1-AB15-8849F3C11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'58'!$H$6:$H$8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'58'!$I$6:$I$8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F-4C04-B963-0BA077C0C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'59'!$H$6:$H$8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'59'!$I$6:$I$8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1-43CA-8D26-DA75240FA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'60'!$H$6:$H$8</c:f>
              <c:strCache>
                <c:ptCount val="3"/>
                <c:pt idx="0">
                  <c:v>Costo ingredientes:</c:v>
                </c:pt>
                <c:pt idx="1">
                  <c:v>Costo laboral:</c:v>
                </c:pt>
                <c:pt idx="2">
                  <c:v>Costo fijo:</c:v>
                </c:pt>
              </c:strCache>
            </c:strRef>
          </c:cat>
          <c:val>
            <c:numRef>
              <c:f>'60'!$I$6:$I$8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1-4707-B285-E7DFB0136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563074912"/>
        <c:axId val="1563076352"/>
      </c:barChart>
      <c:catAx>
        <c:axId val="156307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3076352"/>
        <c:crosses val="autoZero"/>
        <c:auto val="1"/>
        <c:lblAlgn val="ctr"/>
        <c:lblOffset val="100"/>
        <c:noMultiLvlLbl val="0"/>
      </c:catAx>
      <c:valAx>
        <c:axId val="15630763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563074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hyperlink" Target="#MO!A1"/><Relationship Id="rId7" Type="http://schemas.openxmlformats.org/officeDocument/2006/relationships/image" Target="../media/image4.png"/><Relationship Id="rId12" Type="http://schemas.openxmlformats.org/officeDocument/2006/relationships/image" Target="../media/image9.svg"/><Relationship Id="rId2" Type="http://schemas.openxmlformats.org/officeDocument/2006/relationships/hyperlink" Target="#Ingredientes!A1"/><Relationship Id="rId1" Type="http://schemas.openxmlformats.org/officeDocument/2006/relationships/image" Target="../media/image1.png"/><Relationship Id="rId6" Type="http://schemas.openxmlformats.org/officeDocument/2006/relationships/image" Target="../media/image3.svg"/><Relationship Id="rId11" Type="http://schemas.openxmlformats.org/officeDocument/2006/relationships/image" Target="../media/image8.png"/><Relationship Id="rId5" Type="http://schemas.openxmlformats.org/officeDocument/2006/relationships/image" Target="../media/image2.png"/><Relationship Id="rId10" Type="http://schemas.openxmlformats.org/officeDocument/2006/relationships/image" Target="../media/image7.svg"/><Relationship Id="rId4" Type="http://schemas.openxmlformats.org/officeDocument/2006/relationships/hyperlink" Target="#CIF!A1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10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image" Target="../media/image7.sv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.xml"/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hyperlink" Target="#MENU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hyperlink" Target="#MENU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hyperlink" Target="#MENU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hyperlink" Target="#MENU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hyperlink" Target="#MENU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7.xml"/><Relationship Id="rId1" Type="http://schemas.openxmlformats.org/officeDocument/2006/relationships/hyperlink" Target="#MENU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hyperlink" Target="#MENU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9.xml"/><Relationship Id="rId1" Type="http://schemas.openxmlformats.org/officeDocument/2006/relationships/hyperlink" Target="#MENU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0.xml"/><Relationship Id="rId1" Type="http://schemas.openxmlformats.org/officeDocument/2006/relationships/hyperlink" Target="#MENU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1.xml"/><Relationship Id="rId1" Type="http://schemas.openxmlformats.org/officeDocument/2006/relationships/hyperlink" Target="#MENU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2.xml"/><Relationship Id="rId1" Type="http://schemas.openxmlformats.org/officeDocument/2006/relationships/hyperlink" Target="#MENU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3.xml"/><Relationship Id="rId1" Type="http://schemas.openxmlformats.org/officeDocument/2006/relationships/hyperlink" Target="#MENU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4.xml"/><Relationship Id="rId1" Type="http://schemas.openxmlformats.org/officeDocument/2006/relationships/hyperlink" Target="#MENU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5.xml"/><Relationship Id="rId1" Type="http://schemas.openxmlformats.org/officeDocument/2006/relationships/hyperlink" Target="#MENU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6.xml"/><Relationship Id="rId1" Type="http://schemas.openxmlformats.org/officeDocument/2006/relationships/hyperlink" Target="#MENU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7.xml"/><Relationship Id="rId1" Type="http://schemas.openxmlformats.org/officeDocument/2006/relationships/hyperlink" Target="#MENU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8.xml"/><Relationship Id="rId1" Type="http://schemas.openxmlformats.org/officeDocument/2006/relationships/hyperlink" Target="#MENU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9.xml"/><Relationship Id="rId1" Type="http://schemas.openxmlformats.org/officeDocument/2006/relationships/hyperlink" Target="#MENU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0.xml"/><Relationship Id="rId1" Type="http://schemas.openxmlformats.org/officeDocument/2006/relationships/hyperlink" Target="#MENU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1.xml"/><Relationship Id="rId1" Type="http://schemas.openxmlformats.org/officeDocument/2006/relationships/hyperlink" Target="#MENU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2.xml"/><Relationship Id="rId1" Type="http://schemas.openxmlformats.org/officeDocument/2006/relationships/hyperlink" Target="#MENU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3.xml"/><Relationship Id="rId1" Type="http://schemas.openxmlformats.org/officeDocument/2006/relationships/hyperlink" Target="#MENU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4.xml"/><Relationship Id="rId1" Type="http://schemas.openxmlformats.org/officeDocument/2006/relationships/hyperlink" Target="#MENU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5.xml"/><Relationship Id="rId1" Type="http://schemas.openxmlformats.org/officeDocument/2006/relationships/hyperlink" Target="#MENU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6.xml"/><Relationship Id="rId1" Type="http://schemas.openxmlformats.org/officeDocument/2006/relationships/hyperlink" Target="#MENU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7.xml"/><Relationship Id="rId1" Type="http://schemas.openxmlformats.org/officeDocument/2006/relationships/hyperlink" Target="#MENU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8.xml"/><Relationship Id="rId1" Type="http://schemas.openxmlformats.org/officeDocument/2006/relationships/hyperlink" Target="#MENU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9.xml"/><Relationship Id="rId1" Type="http://schemas.openxmlformats.org/officeDocument/2006/relationships/hyperlink" Target="#MENU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0.xml"/><Relationship Id="rId1" Type="http://schemas.openxmlformats.org/officeDocument/2006/relationships/hyperlink" Target="#MENU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1.xml"/><Relationship Id="rId1" Type="http://schemas.openxmlformats.org/officeDocument/2006/relationships/hyperlink" Target="#MENU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2.xml"/><Relationship Id="rId1" Type="http://schemas.openxmlformats.org/officeDocument/2006/relationships/hyperlink" Target="#MENU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3.xml"/><Relationship Id="rId1" Type="http://schemas.openxmlformats.org/officeDocument/2006/relationships/hyperlink" Target="#MENU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4.xml"/><Relationship Id="rId1" Type="http://schemas.openxmlformats.org/officeDocument/2006/relationships/hyperlink" Target="#MENU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5.xml"/><Relationship Id="rId1" Type="http://schemas.openxmlformats.org/officeDocument/2006/relationships/hyperlink" Target="#MENU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6.xml"/><Relationship Id="rId1" Type="http://schemas.openxmlformats.org/officeDocument/2006/relationships/hyperlink" Target="#MENU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7.xml"/><Relationship Id="rId1" Type="http://schemas.openxmlformats.org/officeDocument/2006/relationships/hyperlink" Target="#MENU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8.xml"/><Relationship Id="rId1" Type="http://schemas.openxmlformats.org/officeDocument/2006/relationships/hyperlink" Target="#MENU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9.xml"/><Relationship Id="rId1" Type="http://schemas.openxmlformats.org/officeDocument/2006/relationships/hyperlink" Target="#MENU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0.xml"/><Relationship Id="rId1" Type="http://schemas.openxmlformats.org/officeDocument/2006/relationships/hyperlink" Target="#MENU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1.xml"/><Relationship Id="rId1" Type="http://schemas.openxmlformats.org/officeDocument/2006/relationships/hyperlink" Target="#MENU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2.xml"/><Relationship Id="rId1" Type="http://schemas.openxmlformats.org/officeDocument/2006/relationships/hyperlink" Target="#MENU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3.xml"/><Relationship Id="rId1" Type="http://schemas.openxmlformats.org/officeDocument/2006/relationships/hyperlink" Target="#MENU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4.xml"/><Relationship Id="rId1" Type="http://schemas.openxmlformats.org/officeDocument/2006/relationships/hyperlink" Target="#MENU!A1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5.xml"/><Relationship Id="rId1" Type="http://schemas.openxmlformats.org/officeDocument/2006/relationships/hyperlink" Target="#MENU!A1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6.xml"/><Relationship Id="rId1" Type="http://schemas.openxmlformats.org/officeDocument/2006/relationships/hyperlink" Target="#MENU!A1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7.xml"/><Relationship Id="rId1" Type="http://schemas.openxmlformats.org/officeDocument/2006/relationships/hyperlink" Target="#MENU!A1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8.xml"/><Relationship Id="rId1" Type="http://schemas.openxmlformats.org/officeDocument/2006/relationships/hyperlink" Target="#MENU!A1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9.xml"/><Relationship Id="rId1" Type="http://schemas.openxmlformats.org/officeDocument/2006/relationships/hyperlink" Target="#MENU!A1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0.xml"/><Relationship Id="rId1" Type="http://schemas.openxmlformats.org/officeDocument/2006/relationships/hyperlink" Target="#MENU!A1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1.xml"/><Relationship Id="rId1" Type="http://schemas.openxmlformats.org/officeDocument/2006/relationships/hyperlink" Target="#MENU!A1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2.xml"/><Relationship Id="rId1" Type="http://schemas.openxmlformats.org/officeDocument/2006/relationships/hyperlink" Target="#MENU!A1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3.xml"/><Relationship Id="rId1" Type="http://schemas.openxmlformats.org/officeDocument/2006/relationships/hyperlink" Target="#MENU!A1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4.xml"/><Relationship Id="rId1" Type="http://schemas.openxmlformats.org/officeDocument/2006/relationships/hyperlink" Target="#MENU!A1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5.xml"/><Relationship Id="rId1" Type="http://schemas.openxmlformats.org/officeDocument/2006/relationships/hyperlink" Target="#MENU!A1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6.xml"/><Relationship Id="rId1" Type="http://schemas.openxmlformats.org/officeDocument/2006/relationships/hyperlink" Target="#MENU!A1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7.xml"/><Relationship Id="rId1" Type="http://schemas.openxmlformats.org/officeDocument/2006/relationships/hyperlink" Target="#MENU!A1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8.xml"/><Relationship Id="rId1" Type="http://schemas.openxmlformats.org/officeDocument/2006/relationships/hyperlink" Target="#MENU!A1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9.xml"/><Relationship Id="rId1" Type="http://schemas.openxmlformats.org/officeDocument/2006/relationships/hyperlink" Target="#MENU!A1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0.xml"/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904876</xdr:colOff>
      <xdr:row>1</xdr:row>
      <xdr:rowOff>171451</xdr:rowOff>
    </xdr:from>
    <xdr:to>
      <xdr:col>2</xdr:col>
      <xdr:colOff>142875</xdr:colOff>
      <xdr:row>2</xdr:row>
      <xdr:rowOff>76201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AB0F19CD-0A01-B793-1D9F-84B6649209AD}"/>
            </a:ext>
          </a:extLst>
        </xdr:cNvPr>
        <xdr:cNvSpPr/>
      </xdr:nvSpPr>
      <xdr:spPr>
        <a:xfrm>
          <a:off x="1152526" y="257176"/>
          <a:ext cx="1409699" cy="3429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MENU PRINCIPAL</a:t>
          </a:r>
        </a:p>
      </xdr:txBody>
    </xdr:sp>
    <xdr:clientData/>
  </xdr:twoCellAnchor>
  <xdr:twoCellAnchor editAs="oneCell">
    <xdr:from>
      <xdr:col>0</xdr:col>
      <xdr:colOff>200026</xdr:colOff>
      <xdr:row>1</xdr:row>
      <xdr:rowOff>28575</xdr:rowOff>
    </xdr:from>
    <xdr:to>
      <xdr:col>1</xdr:col>
      <xdr:colOff>876404</xdr:colOff>
      <xdr:row>2</xdr:row>
      <xdr:rowOff>205324</xdr:rowOff>
    </xdr:to>
    <xdr:pic>
      <xdr:nvPicPr>
        <xdr:cNvPr id="7" name="Imagen 6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8439C2C0-6845-5DDC-5742-1659D02DD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8575"/>
          <a:ext cx="924028" cy="614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742950</xdr:colOff>
      <xdr:row>1</xdr:row>
      <xdr:rowOff>180975</xdr:rowOff>
    </xdr:from>
    <xdr:to>
      <xdr:col>11</xdr:col>
      <xdr:colOff>466725</xdr:colOff>
      <xdr:row>2</xdr:row>
      <xdr:rowOff>85725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61DBB990-AA6B-40BD-A3BD-8453253FCE46}"/>
            </a:ext>
          </a:extLst>
        </xdr:cNvPr>
        <xdr:cNvSpPr/>
      </xdr:nvSpPr>
      <xdr:spPr>
        <a:xfrm>
          <a:off x="9048750" y="180975"/>
          <a:ext cx="1428750" cy="3429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CONFIGURACIÓN</a:t>
          </a:r>
        </a:p>
      </xdr:txBody>
    </xdr:sp>
    <xdr:clientData/>
  </xdr:twoCellAnchor>
  <xdr:twoCellAnchor>
    <xdr:from>
      <xdr:col>9</xdr:col>
      <xdr:colOff>704849</xdr:colOff>
      <xdr:row>3</xdr:row>
      <xdr:rowOff>9525</xdr:rowOff>
    </xdr:from>
    <xdr:to>
      <xdr:col>11</xdr:col>
      <xdr:colOff>647700</xdr:colOff>
      <xdr:row>4</xdr:row>
      <xdr:rowOff>47625</xdr:rowOff>
    </xdr:to>
    <xdr:sp macro="" textlink="">
      <xdr:nvSpPr>
        <xdr:cNvPr id="15" name="Rectángulo: una sola esquina cortada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47372F-7AC0-29DB-2A5B-763CEFF0E1EF}"/>
            </a:ext>
          </a:extLst>
        </xdr:cNvPr>
        <xdr:cNvSpPr/>
      </xdr:nvSpPr>
      <xdr:spPr>
        <a:xfrm>
          <a:off x="9010649" y="695325"/>
          <a:ext cx="1647826" cy="285750"/>
        </a:xfrm>
        <a:prstGeom prst="snip1Rect">
          <a:avLst/>
        </a:prstGeom>
        <a:solidFill>
          <a:srgbClr val="FFFF99"/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Ingredientes</a:t>
          </a:r>
        </a:p>
      </xdr:txBody>
    </xdr:sp>
    <xdr:clientData/>
  </xdr:twoCellAnchor>
  <xdr:twoCellAnchor>
    <xdr:from>
      <xdr:col>9</xdr:col>
      <xdr:colOff>714375</xdr:colOff>
      <xdr:row>4</xdr:row>
      <xdr:rowOff>142875</xdr:rowOff>
    </xdr:from>
    <xdr:to>
      <xdr:col>11</xdr:col>
      <xdr:colOff>657226</xdr:colOff>
      <xdr:row>5</xdr:row>
      <xdr:rowOff>180975</xdr:rowOff>
    </xdr:to>
    <xdr:sp macro="" textlink="">
      <xdr:nvSpPr>
        <xdr:cNvPr id="16" name="Rectángulo: una sola esquina cortada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C2EC326-4C66-46AF-88BC-F05C25AA462E}"/>
            </a:ext>
          </a:extLst>
        </xdr:cNvPr>
        <xdr:cNvSpPr/>
      </xdr:nvSpPr>
      <xdr:spPr>
        <a:xfrm>
          <a:off x="8553450" y="1162050"/>
          <a:ext cx="1647826" cy="285750"/>
        </a:xfrm>
        <a:prstGeom prst="snip1Rect">
          <a:avLst/>
        </a:prstGeom>
        <a:solidFill>
          <a:srgbClr val="FFFF99"/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Mano</a:t>
          </a:r>
          <a:r>
            <a:rPr lang="es-AR" sz="1100" b="1" baseline="0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 de Obra</a:t>
          </a:r>
          <a:endParaRPr lang="es-AR" sz="1100" b="1">
            <a:solidFill>
              <a:sysClr val="windowText" lastClr="000000"/>
            </a:solidFill>
            <a:latin typeface="Poppins" panose="00000500000000000000" pitchFamily="2" charset="0"/>
            <a:ea typeface="+mn-ea"/>
            <a:cs typeface="Poppins" panose="00000500000000000000" pitchFamily="2" charset="0"/>
          </a:endParaRPr>
        </a:p>
      </xdr:txBody>
    </xdr:sp>
    <xdr:clientData/>
  </xdr:twoCellAnchor>
  <xdr:twoCellAnchor>
    <xdr:from>
      <xdr:col>9</xdr:col>
      <xdr:colOff>723900</xdr:colOff>
      <xdr:row>6</xdr:row>
      <xdr:rowOff>38100</xdr:rowOff>
    </xdr:from>
    <xdr:to>
      <xdr:col>11</xdr:col>
      <xdr:colOff>666751</xdr:colOff>
      <xdr:row>7</xdr:row>
      <xdr:rowOff>76200</xdr:rowOff>
    </xdr:to>
    <xdr:sp macro="" textlink="">
      <xdr:nvSpPr>
        <xdr:cNvPr id="17" name="Rectángulo: una sola esquina cortada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A0CD31-A7A1-4373-A0DF-72524C37B2D8}"/>
            </a:ext>
          </a:extLst>
        </xdr:cNvPr>
        <xdr:cNvSpPr/>
      </xdr:nvSpPr>
      <xdr:spPr>
        <a:xfrm>
          <a:off x="8562975" y="1552575"/>
          <a:ext cx="1647826" cy="285750"/>
        </a:xfrm>
        <a:prstGeom prst="snip1Rect">
          <a:avLst/>
        </a:prstGeom>
        <a:solidFill>
          <a:srgbClr val="FFFF99"/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Costos</a:t>
          </a:r>
          <a:r>
            <a:rPr lang="es-AR" sz="1100" b="1" baseline="0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 Fijos</a:t>
          </a:r>
        </a:p>
        <a:p>
          <a:pPr marL="0" indent="0" algn="l"/>
          <a:endParaRPr lang="es-AR" sz="1100" b="1">
            <a:solidFill>
              <a:sysClr val="windowText" lastClr="000000"/>
            </a:solidFill>
            <a:latin typeface="Poppins" panose="00000500000000000000" pitchFamily="2" charset="0"/>
            <a:ea typeface="+mn-ea"/>
            <a:cs typeface="Poppins" panose="00000500000000000000" pitchFamily="2" charset="0"/>
          </a:endParaRPr>
        </a:p>
      </xdr:txBody>
    </xdr:sp>
    <xdr:clientData/>
  </xdr:twoCellAnchor>
  <xdr:twoCellAnchor editAs="oneCell">
    <xdr:from>
      <xdr:col>9</xdr:col>
      <xdr:colOff>152400</xdr:colOff>
      <xdr:row>2</xdr:row>
      <xdr:rowOff>114300</xdr:rowOff>
    </xdr:from>
    <xdr:to>
      <xdr:col>9</xdr:col>
      <xdr:colOff>638175</xdr:colOff>
      <xdr:row>4</xdr:row>
      <xdr:rowOff>76200</xdr:rowOff>
    </xdr:to>
    <xdr:pic>
      <xdr:nvPicPr>
        <xdr:cNvPr id="19" name="Gráfico 18" descr="Pavo cocido con relleno sólido">
          <a:extLst>
            <a:ext uri="{FF2B5EF4-FFF2-40B4-BE49-F238E27FC236}">
              <a16:creationId xmlns:a16="http://schemas.microsoft.com/office/drawing/2014/main" id="{E7D673DF-BFFB-67FE-2968-8B215EDD5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458200" y="5524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9</xdr:col>
      <xdr:colOff>219075</xdr:colOff>
      <xdr:row>4</xdr:row>
      <xdr:rowOff>66675</xdr:rowOff>
    </xdr:from>
    <xdr:to>
      <xdr:col>9</xdr:col>
      <xdr:colOff>628650</xdr:colOff>
      <xdr:row>5</xdr:row>
      <xdr:rowOff>200025</xdr:rowOff>
    </xdr:to>
    <xdr:pic>
      <xdr:nvPicPr>
        <xdr:cNvPr id="23" name="Gráfico 22" descr="Sombrero de chef con relleno sólido">
          <a:extLst>
            <a:ext uri="{FF2B5EF4-FFF2-40B4-BE49-F238E27FC236}">
              <a16:creationId xmlns:a16="http://schemas.microsoft.com/office/drawing/2014/main" id="{433E5407-76A7-8C03-58A8-D4AB42B1E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524875" y="1000125"/>
          <a:ext cx="409575" cy="409575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228600</xdr:colOff>
      <xdr:row>5</xdr:row>
      <xdr:rowOff>209549</xdr:rowOff>
    </xdr:from>
    <xdr:to>
      <xdr:col>9</xdr:col>
      <xdr:colOff>657225</xdr:colOff>
      <xdr:row>7</xdr:row>
      <xdr:rowOff>85724</xdr:rowOff>
    </xdr:to>
    <xdr:pic>
      <xdr:nvPicPr>
        <xdr:cNvPr id="25" name="Gráfico 24" descr="Servicio de comidas con relleno sólido">
          <a:extLst>
            <a:ext uri="{FF2B5EF4-FFF2-40B4-BE49-F238E27FC236}">
              <a16:creationId xmlns:a16="http://schemas.microsoft.com/office/drawing/2014/main" id="{4A8F1D4A-0463-3F0B-FD15-AEA803715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534400" y="1390649"/>
          <a:ext cx="428625" cy="4286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123824</xdr:colOff>
      <xdr:row>1</xdr:row>
      <xdr:rowOff>76200</xdr:rowOff>
    </xdr:from>
    <xdr:to>
      <xdr:col>9</xdr:col>
      <xdr:colOff>647699</xdr:colOff>
      <xdr:row>2</xdr:row>
      <xdr:rowOff>161925</xdr:rowOff>
    </xdr:to>
    <xdr:pic>
      <xdr:nvPicPr>
        <xdr:cNvPr id="27" name="Gráfico 26" descr="Engranajes con relleno sólido">
          <a:extLst>
            <a:ext uri="{FF2B5EF4-FFF2-40B4-BE49-F238E27FC236}">
              <a16:creationId xmlns:a16="http://schemas.microsoft.com/office/drawing/2014/main" id="{EE1FA8DE-65F6-6F85-16A4-D10CAF86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962899" y="161925"/>
          <a:ext cx="523875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495300</xdr:colOff>
      <xdr:row>1</xdr:row>
      <xdr:rowOff>400050</xdr:rowOff>
    </xdr:to>
    <xdr:pic>
      <xdr:nvPicPr>
        <xdr:cNvPr id="4" name="Gráfico 3" descr="Pavo cocido con relleno sólido">
          <a:extLst>
            <a:ext uri="{FF2B5EF4-FFF2-40B4-BE49-F238E27FC236}">
              <a16:creationId xmlns:a16="http://schemas.microsoft.com/office/drawing/2014/main" id="{2E82D3C2-F4B1-4CEE-9BB0-D80113AA2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0025" y="0"/>
          <a:ext cx="485775" cy="485775"/>
        </a:xfrm>
        <a:prstGeom prst="rect">
          <a:avLst/>
        </a:prstGeom>
      </xdr:spPr>
    </xdr:pic>
    <xdr:clientData/>
  </xdr:twoCellAnchor>
  <xdr:twoCellAnchor>
    <xdr:from>
      <xdr:col>4</xdr:col>
      <xdr:colOff>542925</xdr:colOff>
      <xdr:row>0</xdr:row>
      <xdr:rowOff>28575</xdr:rowOff>
    </xdr:from>
    <xdr:to>
      <xdr:col>4</xdr:col>
      <xdr:colOff>1571625</xdr:colOff>
      <xdr:row>2</xdr:row>
      <xdr:rowOff>85725</xdr:rowOff>
    </xdr:to>
    <xdr:sp macro="" textlink="">
      <xdr:nvSpPr>
        <xdr:cNvPr id="7" name="Flecha: hacia la izquierda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6246A5-BB44-0574-767A-028C049E758B}"/>
            </a:ext>
          </a:extLst>
        </xdr:cNvPr>
        <xdr:cNvSpPr/>
      </xdr:nvSpPr>
      <xdr:spPr>
        <a:xfrm>
          <a:off x="4819650" y="28575"/>
          <a:ext cx="1028700" cy="552450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0</xdr:row>
      <xdr:rowOff>9525</xdr:rowOff>
    </xdr:from>
    <xdr:to>
      <xdr:col>1</xdr:col>
      <xdr:colOff>1038226</xdr:colOff>
      <xdr:row>1</xdr:row>
      <xdr:rowOff>314325</xdr:rowOff>
    </xdr:to>
    <xdr:pic>
      <xdr:nvPicPr>
        <xdr:cNvPr id="4" name="Imagen 3" descr="Conjunto de chefs con bigote | Vector Premium">
          <a:extLst>
            <a:ext uri="{FF2B5EF4-FFF2-40B4-BE49-F238E27FC236}">
              <a16:creationId xmlns:a16="http://schemas.microsoft.com/office/drawing/2014/main" id="{A5905503-3262-2267-98CE-1FB7D4891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6" y="9525"/>
          <a:ext cx="80010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304800</xdr:colOff>
      <xdr:row>1048576</xdr:row>
      <xdr:rowOff>104775</xdr:rowOff>
    </xdr:to>
    <xdr:sp macro="" textlink="">
      <xdr:nvSpPr>
        <xdr:cNvPr id="4102" name="AutoShape 6" descr="Clase de cocina Chef Iconos de pictograma de figura de palo de cocinero  Vector de stock #89917152 de ©leremy">
          <a:extLst>
            <a:ext uri="{FF2B5EF4-FFF2-40B4-BE49-F238E27FC236}">
              <a16:creationId xmlns:a16="http://schemas.microsoft.com/office/drawing/2014/main" id="{745B3B77-01B9-8B8C-3B0E-BB9B773E4373}"/>
            </a:ext>
          </a:extLst>
        </xdr:cNvPr>
        <xdr:cNvSpPr>
          <a:spLocks noChangeAspect="1" noChangeArrowheads="1"/>
        </xdr:cNvSpPr>
      </xdr:nvSpPr>
      <xdr:spPr bwMode="auto">
        <a:xfrm>
          <a:off x="4086225" y="52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152399</xdr:colOff>
      <xdr:row>0</xdr:row>
      <xdr:rowOff>104775</xdr:rowOff>
    </xdr:from>
    <xdr:to>
      <xdr:col>5</xdr:col>
      <xdr:colOff>266699</xdr:colOff>
      <xdr:row>1</xdr:row>
      <xdr:rowOff>323850</xdr:rowOff>
    </xdr:to>
    <xdr:sp macro="" textlink="">
      <xdr:nvSpPr>
        <xdr:cNvPr id="6" name="Flecha: hacia la izquierda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EEAC6E-EED2-4E20-9C34-86B11E2545DA}"/>
            </a:ext>
          </a:extLst>
        </xdr:cNvPr>
        <xdr:cNvSpPr/>
      </xdr:nvSpPr>
      <xdr:spPr>
        <a:xfrm>
          <a:off x="4238624" y="104775"/>
          <a:ext cx="1133475" cy="552450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95251</xdr:rowOff>
    </xdr:from>
    <xdr:to>
      <xdr:col>1</xdr:col>
      <xdr:colOff>590551</xdr:colOff>
      <xdr:row>1</xdr:row>
      <xdr:rowOff>447676</xdr:rowOff>
    </xdr:to>
    <xdr:pic>
      <xdr:nvPicPr>
        <xdr:cNvPr id="5" name="Gráfico 4" descr="Servicio de comidas con relleno sólido">
          <a:extLst>
            <a:ext uri="{FF2B5EF4-FFF2-40B4-BE49-F238E27FC236}">
              <a16:creationId xmlns:a16="http://schemas.microsoft.com/office/drawing/2014/main" id="{E2E04F60-0F8B-4259-BA80-896950D4D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0026" y="95251"/>
          <a:ext cx="552450" cy="552450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0</xdr:row>
      <xdr:rowOff>76200</xdr:rowOff>
    </xdr:from>
    <xdr:to>
      <xdr:col>5</xdr:col>
      <xdr:colOff>1371600</xdr:colOff>
      <xdr:row>1</xdr:row>
      <xdr:rowOff>447675</xdr:rowOff>
    </xdr:to>
    <xdr:sp macro="" textlink="">
      <xdr:nvSpPr>
        <xdr:cNvPr id="6" name="Flecha: hacia la izquierda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C341E5A-464F-42F2-965D-849BCAB723B7}"/>
            </a:ext>
          </a:extLst>
        </xdr:cNvPr>
        <xdr:cNvSpPr/>
      </xdr:nvSpPr>
      <xdr:spPr>
        <a:xfrm>
          <a:off x="6115050" y="76200"/>
          <a:ext cx="1219200" cy="571500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3" name="Flecha: hacia la izqui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01D750-DE6D-41D7-BDBB-E6CCDE2F0E2F}"/>
            </a:ext>
          </a:extLst>
        </xdr:cNvPr>
        <xdr:cNvSpPr/>
      </xdr:nvSpPr>
      <xdr:spPr>
        <a:xfrm>
          <a:off x="6603999" y="116416"/>
          <a:ext cx="1312335" cy="910167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CB821E0-7C4D-07F8-8D7A-489F45EBC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437194</xdr:colOff>
      <xdr:row>3</xdr:row>
      <xdr:rowOff>169334</xdr:rowOff>
    </xdr:to>
    <xdr:pic>
      <xdr:nvPicPr>
        <xdr:cNvPr id="6" name="Imagen 5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32EEDFE9-A07F-481E-8917-19C674614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4316" y="31750"/>
          <a:ext cx="1606295" cy="1068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35203C-53CC-42E6-ADCA-8BE59E9F9DEB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75A417-0960-495B-9807-85DD8313C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427C28AC-B309-48F9-9776-A15D8755A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7B6194-401E-48A9-9F94-EA66257858B8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60603B-1CF1-408A-AF14-4918133B5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C2F058BB-EEF3-487E-92E1-4704A5D92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53E9A-C1C9-47CC-B760-C5C9683BC012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A21A60-6DD1-49DE-A244-091EA3C40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75467060-38DA-4E94-A499-FDF90663C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63C8FF-45B1-44A1-8997-7223C74AFE94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DE7F98-461D-4CB1-A377-5AF21A097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D7F212C5-6F53-41FC-BB07-799AC6CF9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149A7B-4B63-49B8-B74D-942EC2177F99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F93126-ABD1-4297-BA03-27C69EB53A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B2F355DA-1832-4109-AAEE-677A9610A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2B9A39-8A5C-49F4-B3E7-F1B127126B83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9F04B3-E2ED-413A-B2D7-0D58670D9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2DFD8BB8-A998-407D-B846-057682E28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2B1EE7-F632-4A8E-89C6-09CDD4F8D6AC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579A508-32ED-4368-B306-5DBD540F9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51704325-F72D-4AEA-8DDA-CFE5DE9C7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4E0194-6F22-4D3E-9E75-8E17C346803B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56B948-D161-4AE8-812D-07420D956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70A496CD-42AF-4A17-BC26-AFFCC8075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E9F526-DF63-4455-8312-9350A8236AA4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3E54FC-974D-498B-832E-809F35BD8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EA8B76B7-0DF8-4EA1-9E2D-E9B928886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3800D8-E0AB-4214-8208-76D968013506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79ED16-FEE4-493D-841D-2278112BD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7C3F8A01-176C-4ED1-A9F5-DB9A4E7E2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0B6186-FD29-41C0-8AA6-89B8E70C4930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4A008C-41E0-429B-9B00-192B30400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E3683369-4631-457F-9F8D-59A8F2A3F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0464C9-A2CE-40A5-8DE7-D1651A9242DF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A73B5A-3C5D-47EC-8580-80E57F75A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911D1B34-A385-4606-B68B-F44B7100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651457-2F26-4002-8BB3-43F134A4958C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CFAB46-1BAF-4FBD-95DC-CF2561006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DD33F458-25D4-4A96-86BC-3D7136F08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724434-6FF2-432A-AB61-94D1542A7AE3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0BF6559-36B4-4F8B-A8C3-46038791A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B3431322-5900-4D24-8242-404B69F74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6894F-5AA4-46BC-9388-7C9A5C3E4916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DEC250-344E-49B8-979E-925D06575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84D654DC-088A-4AED-9DA3-5F7B7C44A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83B389-7C35-47C2-8362-3C29D08D75DB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98949E-7B1A-4864-9CA5-DBA5D81B4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9CD2523A-641C-4BB6-B77C-38E5DB076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C547CF-833A-496A-B64B-203A0C899DC1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A8DC09-B74C-40C7-B847-828D94B29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7CA33A1A-5AF4-4715-B37F-7C8D4D148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CBC1BE-D7D8-4678-BC7C-B85AEB0419E3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2DC9EB-6342-4A41-AF96-D0E3DEA97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02007548-8B8F-4D6B-8CDA-02D27CA6E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F003CF-6476-4EA3-B57F-E4CCDBE89E6C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4E8EBC-9C48-4DA0-8A61-5E0B88351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4F796D5D-C41D-41EE-91AA-40911AAF0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D6F04D-D689-4577-8B11-E56A2B605ABB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9EA40F-3CA6-47E3-A288-619DA3966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30186AAE-83C0-4707-AC69-1BA0E59CC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CEAEC9-CD55-4016-B89B-D269B57539A0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7B86B7-29B3-4CBD-81DF-C10076A95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90F04580-FD70-4FF1-AE8B-4AB923DCE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B6133A-9196-4B37-9F5C-C9DE6ADEC3F5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0B5FB9-6C2C-46E1-B74C-35AFEF3AD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EEDC5AFA-E020-43D7-A263-AF6A339C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7A2510-F86E-4D57-A2D4-3B902FEC1E54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4C4D44-EBFE-45FA-A6C8-C9721C36F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04CC60E2-EA5D-4F9E-8FDC-99074ACCC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2B1BCE-C510-4CA9-AF84-7493F75FD847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9EB9A8-4F3F-438F-B203-728779BF3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E45E6037-1A50-457D-9C00-710555EBB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F5EF39-06B7-4286-9CE4-E3DE03AA43BD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AB1224-330C-41DB-85CC-5804CE317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75F5F728-B1FA-4DF2-9B4F-C932FFC49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30EEAD-DC73-4C5C-B650-BD9410BBCD7E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6C392A-D7FB-49FA-BD11-4E7CF48C0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C30A9510-3801-4BF6-855B-F7925654A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8985D5-920B-4C4D-958A-EB9A7207EBEC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DBDBC1-5F1C-4BF4-B46B-EDCA53E5A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8DB5FFA4-E78F-4D5F-B6FF-41C2906E4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936D48-CC12-46A5-9610-6C540E71D094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15D8CB-E02E-43DE-89D8-A21ABE445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F6D4A0D9-1B83-44D6-BEC9-9D4B288AC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605095-1A37-4E00-AB41-A89F700B90A0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2978866-731D-48AC-84DF-50506CD06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B87F2D68-FF7E-4B60-A877-B3203D442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D05A24-6C9D-43EE-8D51-C052D62F8F15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4666A9-EC1C-4776-83AD-3CD013571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4ACA2138-F637-4246-A453-0C6B45ED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50C33E-EFFF-45C9-9CF4-9FD1441C8CB3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C552C4-8B7F-4EAC-862D-2718B38C7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53DB3A28-77A5-4957-9711-665A3240C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91728D-3E8B-4D14-BB92-8D218F3E9B09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13D2B1-9DAE-43A6-A1EB-FEA2B6745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79450FE4-3F25-4EBD-A2B1-B63EED999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0951D9-42A3-4C24-8679-A3222C27E610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DA2F41-8839-43CA-9B43-20DFF9DA5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1A6D6C1C-E51D-47EA-9403-3D861FBAA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25BCF1-F827-4A68-9E18-D230521659FE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AE37A8-B02D-4028-9877-39C301720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D3AF7A4E-6408-40F0-85D3-2F3818582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F8A9C7-890B-45F9-BE70-FA66948F522A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ECCF7C-EFA2-49FA-8569-E5D201637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17AD0CC1-DBB0-4E31-8505-E2A9DC382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454A2F-42E0-4B60-9AD4-E558506AEEF1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B4D595-60E3-47BA-9856-1F978498D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57E6ED92-295D-4CFA-9302-5FFA24C50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ED59C7-1A92-446B-A8AD-C5D95E8520B9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36CD16-22E3-4729-B9C8-66989AB96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9DCE695D-070F-48F0-A1F5-077AEDAB0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33C341-43AD-4014-903E-A9CE8F920A8E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41EE51-893E-4944-BC40-7CDF9E51C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CF6F2B33-B77B-4CC6-B195-0825F1C31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C801EE-178B-4335-8472-6329BE7617B3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306D655-18DD-4F5D-A3B2-E7BF0882B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1843D32A-5776-4021-AAC0-DE17B0B77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28484E-BCAA-4C13-949F-B2F85613B013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89C95F1-6E98-43B7-8544-1507A4CEA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8475C2E0-9517-4530-AB69-DAC9CFE8E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951D79-D1CE-47BC-AF12-55803B950C0B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E626D9-9CDA-4FC1-A4A8-77A045EEC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340AA600-AE6E-4AC6-9D62-C5CA3D00A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6CFDD6-C878-4707-B9A8-2AD443EEC295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E3A3A1-5C0D-4032-8A71-1ACE2404D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46ED0E92-5F06-4118-B4B2-D45FA91DD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CB7DD6-39FE-4279-9260-4EAC8DBAD3DE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5A30E7E-AD39-4AED-8ED2-B765BAA16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16EE21EB-A9C9-4D4B-A636-BF32C1B0D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AB27FF-A2B5-4CD7-A2F8-376DB9504EED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E4C063-649C-41AD-9993-397F67691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029D457C-03F6-4963-AA1F-3D1619A1A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E98FB-05ED-42E4-9D84-7E04E7D82D73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46EEF6-0DC7-4FCD-93C5-70FB21A5A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30EABC6A-A039-4C9D-887F-CA1A55DFA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1ABA82-165B-4327-8723-6A1AE7861EBC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8A340F-78B3-439E-8A96-08E7957EB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195CE7F3-F592-44B9-ACE7-705BCE08C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B7F24E-D600-4EB7-95FC-86349AFE81B1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58CEAE-70F9-49C9-9375-BD2EBC5BD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B0806CA9-43C0-4822-B063-BBCBAB798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EE62D9-50AF-464F-A5B2-E42E376F386B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13C1B6-9473-4E7B-BFBB-4361F5C8D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1DCF5B37-E143-4005-978B-682CEDFFA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686312-22A6-4023-AFE8-93D642B1A5E9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E29798-B02D-463C-AF65-9A9E0E31F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E25372B4-6B98-4B3E-9129-D3718EF10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44F817-1094-471C-8716-EF60E4D6A4CF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101263-6CDF-453F-B8C4-ABD2E4553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D140E23F-AE0F-452B-B3EA-9B1D095B1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F2887E-D01E-4EC6-A2E3-266EC86C21DC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AA9A72-C69E-4200-A3A3-F41F08F66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4B0259B9-FC1C-4EE1-91ED-5B0D2DE19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8100CB-A5F7-4499-AFDC-1FDF326CE15A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5FF4FBB-25C9-4340-8726-B9A7EDE86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95BED9DD-46CB-45D7-88E7-EE8BEE10A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26A837-1D53-4652-95B2-1101487B2DBE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C71386-09DA-487E-B44E-FB35CA39A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1648B21C-0A5A-4FFB-8BE2-787BCE5E6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76E086-6F7F-443B-A881-B0797A304FA5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3BDB38F-2A64-46F1-BBEC-1B23D831E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22CEB665-46C9-4C8A-99E0-DBCF66DC4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9AC687-3EB3-48D1-94C6-E87AA8AB6DDD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82CC068-4EAF-4DA6-A3C3-BD07C3FD5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CD1E012B-3749-4B25-A4B3-BDE5A97A2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F727C6-1180-4771-88D5-662C080B531F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DD5008-47A3-4307-A95A-7887A9A7A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CB3B40FB-E90D-44A2-A8F3-75C2DA279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ED83E5-5052-42F3-BA55-E045D23BF49A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D773DED-B240-4A95-A7FB-E8CFA3FF6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E9F6372B-84DA-4D1F-B928-E3F0D5641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08D922-1CBC-4C82-9FB7-71441642D409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6DE4D9-69B1-4798-B9B5-E11A88966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E51C3047-5B9A-4C03-9DC9-ABE1BFB49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444499</xdr:colOff>
      <xdr:row>0</xdr:row>
      <xdr:rowOff>116416</xdr:rowOff>
    </xdr:from>
    <xdr:to>
      <xdr:col>8</xdr:col>
      <xdr:colOff>42334</xdr:colOff>
      <xdr:row>3</xdr:row>
      <xdr:rowOff>95250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027BCC-B865-4B28-975E-5267235F8EDF}"/>
            </a:ext>
          </a:extLst>
        </xdr:cNvPr>
        <xdr:cNvSpPr/>
      </xdr:nvSpPr>
      <xdr:spPr>
        <a:xfrm>
          <a:off x="6597649" y="116416"/>
          <a:ext cx="1312335" cy="912284"/>
        </a:xfrm>
        <a:prstGeom prst="lef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  <a:alpha val="9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100" b="1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rPr>
            <a:t>Menu</a:t>
          </a:r>
        </a:p>
      </xdr:txBody>
    </xdr:sp>
    <xdr:clientData/>
  </xdr:twoCellAnchor>
  <xdr:twoCellAnchor>
    <xdr:from>
      <xdr:col>6</xdr:col>
      <xdr:colOff>127000</xdr:colOff>
      <xdr:row>16</xdr:row>
      <xdr:rowOff>30690</xdr:rowOff>
    </xdr:from>
    <xdr:to>
      <xdr:col>10</xdr:col>
      <xdr:colOff>613833</xdr:colOff>
      <xdr:row>26</xdr:row>
      <xdr:rowOff>22223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169F8F-89CB-4642-BA38-C57C8398F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90316</xdr:colOff>
      <xdr:row>0</xdr:row>
      <xdr:rowOff>31750</xdr:rowOff>
    </xdr:from>
    <xdr:to>
      <xdr:col>10</xdr:col>
      <xdr:colOff>511278</xdr:colOff>
      <xdr:row>3</xdr:row>
      <xdr:rowOff>169334</xdr:rowOff>
    </xdr:to>
    <xdr:pic>
      <xdr:nvPicPr>
        <xdr:cNvPr id="4" name="Imagen 3" descr="Chef cocinando en blanco y negro: Más de 80,279 ilustraciones y dibujos de  stock con licencia libres de regalías | Shutterstock">
          <a:extLst>
            <a:ext uri="{FF2B5EF4-FFF2-40B4-BE49-F238E27FC236}">
              <a16:creationId xmlns:a16="http://schemas.microsoft.com/office/drawing/2014/main" id="{94A4827B-C443-4F1C-B1E7-06D4230A6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966" y="31750"/>
          <a:ext cx="1602062" cy="10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CE3B-DDD3-4C5D-A208-A2AF57E6AE52}">
  <sheetPr>
    <tabColor theme="1"/>
  </sheetPr>
  <dimension ref="A1:L23"/>
  <sheetViews>
    <sheetView showGridLines="0" workbookViewId="0">
      <selection activeCell="L13" sqref="L13"/>
    </sheetView>
  </sheetViews>
  <sheetFormatPr baseColWidth="10" defaultColWidth="11.42578125" defaultRowHeight="19.5" x14ac:dyDescent="0.55000000000000004"/>
  <cols>
    <col min="1" max="1" width="3.7109375" style="61" customWidth="1"/>
    <col min="2" max="2" width="32.5703125" style="61" customWidth="1"/>
    <col min="3" max="3" width="2.42578125" style="61" customWidth="1"/>
    <col min="4" max="4" width="3.28515625" style="61" bestFit="1" customWidth="1"/>
    <col min="5" max="5" width="32.5703125" style="61" customWidth="1"/>
    <col min="6" max="6" width="2.7109375" style="61" customWidth="1"/>
    <col min="7" max="7" width="3.28515625" style="61" bestFit="1" customWidth="1"/>
    <col min="8" max="8" width="32.5703125" style="61" customWidth="1"/>
    <col min="9" max="9" width="4.42578125" style="61" customWidth="1"/>
    <col min="10" max="10" width="11.42578125" style="61"/>
    <col min="11" max="11" width="14.140625" style="61" bestFit="1" customWidth="1"/>
    <col min="12" max="16384" width="11.42578125" style="61"/>
  </cols>
  <sheetData>
    <row r="1" spans="1:12" ht="6.75" customHeight="1" thickBot="1" x14ac:dyDescent="0.6"/>
    <row r="2" spans="1:12" ht="34.5" customHeight="1" x14ac:dyDescent="0.55000000000000004">
      <c r="E2"/>
      <c r="J2" s="85"/>
      <c r="K2" s="86"/>
      <c r="L2" s="87"/>
    </row>
    <row r="3" spans="1:12" x14ac:dyDescent="0.55000000000000004">
      <c r="J3" s="88"/>
      <c r="L3" s="89"/>
    </row>
    <row r="4" spans="1:12" ht="21.75" x14ac:dyDescent="0.6">
      <c r="A4" s="63">
        <v>1</v>
      </c>
      <c r="B4" s="105" t="s">
        <v>159</v>
      </c>
      <c r="D4" s="64">
        <v>21</v>
      </c>
      <c r="E4" s="105" t="s">
        <v>84</v>
      </c>
      <c r="G4" s="63">
        <v>41</v>
      </c>
      <c r="H4" s="105" t="s">
        <v>104</v>
      </c>
      <c r="J4" s="88"/>
      <c r="K4"/>
      <c r="L4" s="89"/>
    </row>
    <row r="5" spans="1:12" ht="21.75" x14ac:dyDescent="0.6">
      <c r="A5" s="62">
        <v>2</v>
      </c>
      <c r="B5" s="106" t="s">
        <v>160</v>
      </c>
      <c r="D5" s="61">
        <v>22</v>
      </c>
      <c r="E5" s="106" t="s">
        <v>85</v>
      </c>
      <c r="G5" s="62">
        <v>42</v>
      </c>
      <c r="H5" s="106" t="s">
        <v>105</v>
      </c>
      <c r="J5" s="88"/>
      <c r="L5" s="89"/>
    </row>
    <row r="6" spans="1:12" ht="21.75" x14ac:dyDescent="0.6">
      <c r="A6" s="63">
        <v>3</v>
      </c>
      <c r="B6" s="105" t="s">
        <v>165</v>
      </c>
      <c r="D6" s="64">
        <v>23</v>
      </c>
      <c r="E6" s="105" t="s">
        <v>86</v>
      </c>
      <c r="G6" s="63">
        <v>43</v>
      </c>
      <c r="H6" s="105" t="s">
        <v>106</v>
      </c>
      <c r="J6" s="88"/>
      <c r="L6" s="89"/>
    </row>
    <row r="7" spans="1:12" ht="21.75" x14ac:dyDescent="0.6">
      <c r="A7" s="62">
        <v>4</v>
      </c>
      <c r="B7" s="106" t="s">
        <v>67</v>
      </c>
      <c r="D7" s="61">
        <v>24</v>
      </c>
      <c r="E7" s="106" t="s">
        <v>87</v>
      </c>
      <c r="G7" s="62">
        <v>44</v>
      </c>
      <c r="H7" s="106" t="s">
        <v>107</v>
      </c>
      <c r="J7" s="88"/>
      <c r="L7" s="89"/>
    </row>
    <row r="8" spans="1:12" ht="22.5" thickBot="1" x14ac:dyDescent="0.65">
      <c r="A8" s="63">
        <v>5</v>
      </c>
      <c r="B8" s="105" t="s">
        <v>68</v>
      </c>
      <c r="D8" s="64">
        <v>25</v>
      </c>
      <c r="E8" s="105" t="s">
        <v>88</v>
      </c>
      <c r="G8" s="63">
        <v>45</v>
      </c>
      <c r="H8" s="105" t="s">
        <v>108</v>
      </c>
      <c r="J8" s="90"/>
      <c r="K8" s="91"/>
      <c r="L8" s="92"/>
    </row>
    <row r="9" spans="1:12" ht="21.75" x14ac:dyDescent="0.6">
      <c r="A9" s="62">
        <v>6</v>
      </c>
      <c r="B9" s="106" t="s">
        <v>69</v>
      </c>
      <c r="D9" s="61">
        <v>26</v>
      </c>
      <c r="E9" s="106" t="s">
        <v>89</v>
      </c>
      <c r="G9" s="62">
        <v>46</v>
      </c>
      <c r="H9" s="106" t="s">
        <v>109</v>
      </c>
    </row>
    <row r="10" spans="1:12" ht="21.75" x14ac:dyDescent="0.6">
      <c r="A10" s="63">
        <v>7</v>
      </c>
      <c r="B10" s="105" t="s">
        <v>70</v>
      </c>
      <c r="D10" s="64">
        <v>27</v>
      </c>
      <c r="E10" s="105" t="s">
        <v>90</v>
      </c>
      <c r="G10" s="63">
        <v>47</v>
      </c>
      <c r="H10" s="105" t="s">
        <v>110</v>
      </c>
    </row>
    <row r="11" spans="1:12" ht="21.75" x14ac:dyDescent="0.6">
      <c r="A11" s="62">
        <v>8</v>
      </c>
      <c r="B11" s="106" t="s">
        <v>71</v>
      </c>
      <c r="D11" s="61">
        <v>28</v>
      </c>
      <c r="E11" s="106" t="s">
        <v>91</v>
      </c>
      <c r="G11" s="62">
        <v>48</v>
      </c>
      <c r="H11" s="106" t="s">
        <v>111</v>
      </c>
    </row>
    <row r="12" spans="1:12" ht="21.75" x14ac:dyDescent="0.6">
      <c r="A12" s="63">
        <v>9</v>
      </c>
      <c r="B12" s="105" t="s">
        <v>72</v>
      </c>
      <c r="D12" s="64">
        <v>29</v>
      </c>
      <c r="E12" s="105" t="s">
        <v>92</v>
      </c>
      <c r="G12" s="63">
        <v>49</v>
      </c>
      <c r="H12" s="105" t="s">
        <v>112</v>
      </c>
    </row>
    <row r="13" spans="1:12" ht="21.75" x14ac:dyDescent="0.6">
      <c r="A13" s="62">
        <v>10</v>
      </c>
      <c r="B13" s="106" t="s">
        <v>73</v>
      </c>
      <c r="D13" s="61">
        <v>30</v>
      </c>
      <c r="E13" s="106" t="s">
        <v>93</v>
      </c>
      <c r="G13" s="62">
        <v>50</v>
      </c>
      <c r="H13" s="106" t="s">
        <v>113</v>
      </c>
    </row>
    <row r="14" spans="1:12" ht="21.75" x14ac:dyDescent="0.6">
      <c r="A14" s="63">
        <v>11</v>
      </c>
      <c r="B14" s="105" t="s">
        <v>74</v>
      </c>
      <c r="D14" s="64">
        <v>31</v>
      </c>
      <c r="E14" s="105" t="s">
        <v>94</v>
      </c>
      <c r="G14" s="63">
        <v>51</v>
      </c>
      <c r="H14" s="105" t="s">
        <v>114</v>
      </c>
    </row>
    <row r="15" spans="1:12" ht="21.75" x14ac:dyDescent="0.6">
      <c r="A15" s="62">
        <v>12</v>
      </c>
      <c r="B15" s="106" t="s">
        <v>75</v>
      </c>
      <c r="D15" s="61">
        <v>32</v>
      </c>
      <c r="E15" s="106" t="s">
        <v>95</v>
      </c>
      <c r="G15" s="62">
        <v>52</v>
      </c>
      <c r="H15" s="106" t="s">
        <v>115</v>
      </c>
    </row>
    <row r="16" spans="1:12" ht="21.75" x14ac:dyDescent="0.6">
      <c r="A16" s="63">
        <v>13</v>
      </c>
      <c r="B16" s="105" t="s">
        <v>76</v>
      </c>
      <c r="D16" s="64">
        <v>33</v>
      </c>
      <c r="E16" s="105" t="s">
        <v>96</v>
      </c>
      <c r="G16" s="63">
        <v>53</v>
      </c>
      <c r="H16" s="105" t="s">
        <v>116</v>
      </c>
    </row>
    <row r="17" spans="1:8" ht="21.75" x14ac:dyDescent="0.6">
      <c r="A17" s="62">
        <v>14</v>
      </c>
      <c r="B17" s="106" t="s">
        <v>77</v>
      </c>
      <c r="D17" s="61">
        <v>34</v>
      </c>
      <c r="E17" s="106" t="s">
        <v>97</v>
      </c>
      <c r="G17" s="62">
        <v>54</v>
      </c>
      <c r="H17" s="106" t="s">
        <v>117</v>
      </c>
    </row>
    <row r="18" spans="1:8" ht="21.75" x14ac:dyDescent="0.6">
      <c r="A18" s="63">
        <v>15</v>
      </c>
      <c r="B18" s="105" t="s">
        <v>78</v>
      </c>
      <c r="D18" s="64">
        <v>35</v>
      </c>
      <c r="E18" s="105" t="s">
        <v>98</v>
      </c>
      <c r="G18" s="63">
        <v>55</v>
      </c>
      <c r="H18" s="105" t="s">
        <v>118</v>
      </c>
    </row>
    <row r="19" spans="1:8" ht="21.75" x14ac:dyDescent="0.6">
      <c r="A19" s="62">
        <v>16</v>
      </c>
      <c r="B19" s="106" t="s">
        <v>79</v>
      </c>
      <c r="D19" s="61">
        <v>36</v>
      </c>
      <c r="E19" s="106" t="s">
        <v>99</v>
      </c>
      <c r="G19" s="62">
        <v>56</v>
      </c>
      <c r="H19" s="106" t="s">
        <v>119</v>
      </c>
    </row>
    <row r="20" spans="1:8" ht="21.75" x14ac:dyDescent="0.6">
      <c r="A20" s="63">
        <v>17</v>
      </c>
      <c r="B20" s="105" t="s">
        <v>80</v>
      </c>
      <c r="D20" s="64">
        <v>37</v>
      </c>
      <c r="E20" s="105" t="s">
        <v>100</v>
      </c>
      <c r="G20" s="63">
        <v>57</v>
      </c>
      <c r="H20" s="105" t="s">
        <v>120</v>
      </c>
    </row>
    <row r="21" spans="1:8" ht="21.75" x14ac:dyDescent="0.6">
      <c r="A21" s="62">
        <v>18</v>
      </c>
      <c r="B21" s="106" t="s">
        <v>81</v>
      </c>
      <c r="D21" s="61">
        <v>38</v>
      </c>
      <c r="E21" s="106" t="s">
        <v>101</v>
      </c>
      <c r="G21" s="62">
        <v>58</v>
      </c>
      <c r="H21" s="106" t="s">
        <v>121</v>
      </c>
    </row>
    <row r="22" spans="1:8" ht="21.75" x14ac:dyDescent="0.6">
      <c r="A22" s="63">
        <v>19</v>
      </c>
      <c r="B22" s="105" t="s">
        <v>82</v>
      </c>
      <c r="D22" s="64">
        <v>39</v>
      </c>
      <c r="E22" s="105" t="s">
        <v>102</v>
      </c>
      <c r="G22" s="63">
        <v>59</v>
      </c>
      <c r="H22" s="105" t="s">
        <v>122</v>
      </c>
    </row>
    <row r="23" spans="1:8" ht="21.75" x14ac:dyDescent="0.6">
      <c r="A23" s="62">
        <v>20</v>
      </c>
      <c r="B23" s="106" t="s">
        <v>83</v>
      </c>
      <c r="D23" s="61">
        <v>40</v>
      </c>
      <c r="E23" s="106" t="s">
        <v>103</v>
      </c>
      <c r="G23" s="62">
        <v>60</v>
      </c>
      <c r="H23" s="106" t="s">
        <v>123</v>
      </c>
    </row>
  </sheetData>
  <phoneticPr fontId="21" type="noConversion"/>
  <hyperlinks>
    <hyperlink ref="B4" location="'1'!A1" display="Nombre de la receta 1" xr:uid="{6C5E18D2-4013-4858-82D6-08F0021C4306}"/>
    <hyperlink ref="B5" location="'2'!A1" display="Nombre de la receta 2" xr:uid="{99EF5E5A-5D2A-46E2-886B-8DF012D54E69}"/>
    <hyperlink ref="B6" location="'3'!A1" display="Nombre de la receta 3" xr:uid="{C8ED4B4D-B886-4D77-B58A-FAE416761FCE}"/>
    <hyperlink ref="B7" location="'4'!A1" display="Nombre de la receta 4" xr:uid="{4144729C-3871-4E2A-AC7A-BE5B6ED05133}"/>
    <hyperlink ref="B8" location="'5'!A1" display="Nombre de la receta 5" xr:uid="{41F67485-15A8-4F54-9514-8D2FA69B4C41}"/>
    <hyperlink ref="B9" location="'6'!A1" display="Nombre de la receta 6" xr:uid="{6732BEF8-341D-4741-A824-822DB2A4A210}"/>
    <hyperlink ref="B10" location="'7'!A1" display="Nombre de la receta 7" xr:uid="{2256906D-49B0-4673-B204-E48EE3D4D1E0}"/>
    <hyperlink ref="B11" location="'8'!A1" display="Nombre de la receta 8" xr:uid="{BD5578C3-29C7-4EB4-A780-EFABA744E4A8}"/>
    <hyperlink ref="B12" location="'9'!A1" display="Nombre de la receta 9" xr:uid="{C359FD27-524D-4A0E-9652-9EF001B8F9DF}"/>
    <hyperlink ref="B13" location="'10'!A1" display="Nombre de la receta 10" xr:uid="{B7BC074C-FF7D-4FB0-9EA5-55842C7FA360}"/>
    <hyperlink ref="B14" location="'11'!A1" display="Nombre de la receta 11" xr:uid="{7285B1A2-9F63-43BA-84E9-D539FA96E15D}"/>
    <hyperlink ref="B15" location="'12'!A1" display="Nombre de la receta 12" xr:uid="{C90DA0D0-FF8A-47EB-ACC9-F21D6CD3B28E}"/>
    <hyperlink ref="B16" location="'13'!A1" display="Nombre de la receta 13" xr:uid="{32283A71-BE33-43B1-9760-B6422E109DAF}"/>
    <hyperlink ref="B17" location="'14'!A1" display="Nombre de la receta 14" xr:uid="{2D6EE300-9909-4F7C-90F6-0AC33E000693}"/>
    <hyperlink ref="B18" location="'15'!A1" display="Nombre de la receta 15" xr:uid="{AFAAB862-BEE1-4537-9034-72C3CDFBF7A6}"/>
    <hyperlink ref="B19" location="'16'!A1" display="Nombre de la receta 16" xr:uid="{E61BAA94-E43A-452F-AC09-B5F2DA5093DE}"/>
    <hyperlink ref="B20" location="'17'!A1" display="Nombre de la receta 17" xr:uid="{63736D22-94BF-4985-AF24-859E15C66B30}"/>
    <hyperlink ref="B21" location="'18'!A1" display="Nombre de la receta 18" xr:uid="{2AF30D17-E39F-4A64-BF46-407C5457C46B}"/>
    <hyperlink ref="B22" location="'19'!A1" display="Nombre de la receta 19" xr:uid="{7E21052F-2EBE-48B9-95D3-63EA8ECDF0D4}"/>
    <hyperlink ref="B23" location="'20'!A1" display="Nombre de la receta 20" xr:uid="{FBE70565-5B37-42C1-9931-CA50E0D2C16C}"/>
    <hyperlink ref="E4" location="'21'!A1" display="Nombre de la receta 21" xr:uid="{D407066D-6722-4223-A54B-66B7144D93BC}"/>
    <hyperlink ref="E5" location="'22'!A1" display="Nombre de la receta 22" xr:uid="{9A80B02E-2354-48ED-BF29-8EAEEF0EA556}"/>
    <hyperlink ref="E6" location="'23'!A1" display="Nombre de la receta 23" xr:uid="{E41D0793-3766-4A53-BB27-ECBDF6A3BABC}"/>
    <hyperlink ref="E7" location="'24'!A1" display="Nombre de la receta 24" xr:uid="{47074811-5B18-40B0-80D2-E3393043BBCB}"/>
    <hyperlink ref="E8" location="'25'!A1" display="Nombre de la receta 25" xr:uid="{68AB7FE0-4337-40D8-B00A-F3897A39079D}"/>
    <hyperlink ref="E9" location="'26'!A1" display="Nombre de la receta 26" xr:uid="{678418B0-3C41-4952-90E5-4244D006E24A}"/>
    <hyperlink ref="E10" location="'27'!A1" display="Nombre de la receta 27" xr:uid="{E92907DA-F601-441F-A867-414BBE37E75A}"/>
    <hyperlink ref="E11" location="'28'!A1" display="Nombre de la receta 28" xr:uid="{93CA7BDE-286E-4527-BD5C-4AE41CB2486C}"/>
    <hyperlink ref="E12" location="'29'!A1" display="Nombre de la receta 29" xr:uid="{29D20097-6447-4DFD-8896-C121B498F0AE}"/>
    <hyperlink ref="E13" location="'30'!A1" display="Nombre de la receta 30" xr:uid="{F0A759E9-FF6C-4069-94E8-DB8BCBA0247E}"/>
    <hyperlink ref="E14" location="'31'!A1" display="Nombre de la receta 31" xr:uid="{0A9E5531-9ED6-4C82-A39F-6CE647DEA467}"/>
    <hyperlink ref="E15" location="'32'!A1" display="Nombre de la receta 32" xr:uid="{6FDC4EFA-163C-46AF-B175-B1A335492B76}"/>
    <hyperlink ref="E16" location="'33'!A1" display="Nombre de la receta 33" xr:uid="{E54D10D2-494C-485E-B070-1117AEBCE4A3}"/>
    <hyperlink ref="E17" location="'34'!A1" display="Nombre de la receta 34" xr:uid="{D1FC58D1-5DB6-4849-B705-9F620F9EC8D7}"/>
    <hyperlink ref="E18" location="'35'!A1" display="Nombre de la receta 35" xr:uid="{844AA7B6-99E7-41B7-9CEC-076EE9D4D7FC}"/>
    <hyperlink ref="E19" location="'36'!A1" display="Nombre de la receta 36" xr:uid="{E2513472-483F-48FE-8175-894B6C6BFB6F}"/>
    <hyperlink ref="E20" location="'37'!A1" display="Nombre de la receta 37" xr:uid="{359CCCDF-B53B-4230-B5C6-D1C116F95385}"/>
    <hyperlink ref="E21" location="'38'!A1" display="Nombre de la receta 38" xr:uid="{0C2D4BA1-2FAF-4BD5-AAB2-E7EBF886CA90}"/>
    <hyperlink ref="E22" location="'39'!A1" display="Nombre de la receta 39" xr:uid="{2F7B3CEE-AA61-4AAD-8B15-FFF37293E62B}"/>
    <hyperlink ref="E23" location="'40'!A1" display="Nombre de la receta 40" xr:uid="{952A53F6-4CA9-4B94-ABB8-B7941703A0DD}"/>
    <hyperlink ref="H4" location="'41'!A1" display="Nombre de la receta 41" xr:uid="{2ECABE04-094B-46E2-B6A7-A5F78C29539C}"/>
    <hyperlink ref="H5" location="'42'!A1" display="Nombre de la receta 42" xr:uid="{BA0C90ED-6209-43B0-91CD-B5604C39DF4E}"/>
    <hyperlink ref="H6" location="'43'!A1" display="Nombre de la receta 43" xr:uid="{A515F09C-29F0-48D2-B333-6DB305B376DF}"/>
    <hyperlink ref="H7" location="'44'!A1" display="Nombre de la receta 44" xr:uid="{431DBEF0-B582-4C94-B78C-E87C35A02B66}"/>
    <hyperlink ref="H8" location="'45'!A1" display="Nombre de la receta 45" xr:uid="{977EE4E0-972C-4062-9783-E65F1A5F9D2F}"/>
    <hyperlink ref="H9" location="'46'!A1" display="Nombre de la receta 46" xr:uid="{B82F7D36-EA4C-44BE-963C-27E47E932347}"/>
    <hyperlink ref="H10" location="'47'!A1" display="Nombre de la receta 47" xr:uid="{A3DC0F3D-9B80-4FC6-94C5-2909B6C7A52A}"/>
    <hyperlink ref="H11" location="'48'!A1" display="Nombre de la receta 48" xr:uid="{EC3EBCF6-ECA0-4076-AE5D-7A1CFE9A0826}"/>
    <hyperlink ref="H12" location="'49'!A1" display="Nombre de la receta 49" xr:uid="{C3C0B0D3-AC45-479C-90F1-A8FF6BCEA57D}"/>
    <hyperlink ref="H13" location="'50'!A1" display="Nombre de la receta 50" xr:uid="{4550B985-BFDC-4368-A35D-747817EF6A12}"/>
    <hyperlink ref="H14" location="'51'!A1" display="Nombre de la receta 51" xr:uid="{A7CB4A7B-3BA4-402D-9CE1-A02C7C8A0A88}"/>
    <hyperlink ref="H15" location="'52'!A1" display="Nombre de la receta 52" xr:uid="{40AFE6ED-48AA-4DAD-B398-745381B0100E}"/>
    <hyperlink ref="H16" location="'53'!A1" display="Nombre de la receta 53" xr:uid="{DBD00BD6-1761-4877-8512-1D228A88ECE5}"/>
    <hyperlink ref="H17" location="'54'!A1" display="Nombre de la receta 54" xr:uid="{40F8E094-8DAE-435D-9B6A-DD904F9ADA15}"/>
    <hyperlink ref="H18" location="'55'!A1" display="Nombre de la receta 55" xr:uid="{2FC075D7-1E2B-4612-BB18-DC8852685AD2}"/>
    <hyperlink ref="H19" location="'56'!A1" display="Nombre de la receta 56" xr:uid="{F0CFBB82-C36A-4797-83C6-7B34C0E8D059}"/>
    <hyperlink ref="H20" location="'57'!A1" display="Nombre de la receta 57" xr:uid="{17F39F46-574D-4A39-97B9-1656EC4A37B8}"/>
    <hyperlink ref="H21" location="'58'!A1" display="Nombre de la receta 58" xr:uid="{10E97111-F384-4270-B4A3-10D691B81881}"/>
    <hyperlink ref="H22" location="'59'!A1" display="Nombre de la receta 59" xr:uid="{E0742EB4-D4C6-4D15-9251-B6C72B34E1EB}"/>
    <hyperlink ref="H23" location="'60'!A1" display="Nombre de la receta 60" xr:uid="{2841B6B3-7E44-47DF-B368-03131BAFA872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E97F-7D95-4CC4-9713-021B5E055B6E}">
  <sheetPr>
    <tabColor theme="1"/>
  </sheetPr>
  <dimension ref="A1:G744"/>
  <sheetViews>
    <sheetView showGridLines="0" topLeftCell="A37" zoomScaleNormal="100" workbookViewId="0">
      <selection activeCell="C49" sqref="C49"/>
    </sheetView>
  </sheetViews>
  <sheetFormatPr baseColWidth="10" defaultColWidth="0" defaultRowHeight="21.75" x14ac:dyDescent="0.6"/>
  <cols>
    <col min="1" max="1" width="2.85546875" style="3" customWidth="1"/>
    <col min="2" max="2" width="30" style="3" customWidth="1"/>
    <col min="3" max="3" width="14" style="6" bestFit="1" customWidth="1"/>
    <col min="4" max="4" width="17.28515625" style="5" bestFit="1" customWidth="1"/>
    <col min="5" max="5" width="24.28515625" style="3" bestFit="1" customWidth="1"/>
    <col min="6" max="6" width="3.85546875" style="3" customWidth="1"/>
    <col min="7" max="7" width="0" style="3" hidden="1" customWidth="1"/>
    <col min="8" max="16384" width="11.42578125" style="3" hidden="1"/>
  </cols>
  <sheetData>
    <row r="1" spans="2:5" ht="6.75" customHeight="1" x14ac:dyDescent="0.6"/>
    <row r="2" spans="2:5" ht="32.25" customHeight="1" x14ac:dyDescent="0.85">
      <c r="B2" s="8" t="s">
        <v>25</v>
      </c>
      <c r="C2" s="3"/>
      <c r="D2" s="3"/>
    </row>
    <row r="3" spans="2:5" ht="9.75" customHeight="1" thickBot="1" x14ac:dyDescent="0.65">
      <c r="B3" s="1"/>
      <c r="C3" s="3"/>
    </row>
    <row r="4" spans="2:5" ht="23.25" customHeight="1" thickBot="1" x14ac:dyDescent="0.65">
      <c r="B4" s="42" t="s">
        <v>22</v>
      </c>
      <c r="C4" s="2" t="s">
        <v>126</v>
      </c>
      <c r="D4" s="2" t="s">
        <v>23</v>
      </c>
      <c r="E4" s="2" t="s">
        <v>24</v>
      </c>
    </row>
    <row r="5" spans="2:5" x14ac:dyDescent="0.6">
      <c r="B5" s="30" t="s">
        <v>127</v>
      </c>
      <c r="C5" s="96">
        <v>10066.200000000001</v>
      </c>
      <c r="D5" s="30" t="s">
        <v>13</v>
      </c>
      <c r="E5" s="30" t="s">
        <v>135</v>
      </c>
    </row>
    <row r="6" spans="2:5" x14ac:dyDescent="0.6">
      <c r="B6" s="34" t="s">
        <v>128</v>
      </c>
      <c r="C6" s="95">
        <v>4100</v>
      </c>
      <c r="D6" s="34" t="s">
        <v>13</v>
      </c>
      <c r="E6" s="34" t="s">
        <v>8</v>
      </c>
    </row>
    <row r="7" spans="2:5" x14ac:dyDescent="0.6">
      <c r="B7" s="34" t="s">
        <v>12</v>
      </c>
      <c r="C7" s="95">
        <v>1132</v>
      </c>
      <c r="D7" s="34" t="s">
        <v>13</v>
      </c>
      <c r="E7" s="34" t="s">
        <v>8</v>
      </c>
    </row>
    <row r="8" spans="2:5" x14ac:dyDescent="0.6">
      <c r="B8" s="34" t="s">
        <v>9</v>
      </c>
      <c r="C8" s="95">
        <v>1106</v>
      </c>
      <c r="D8" s="34" t="s">
        <v>13</v>
      </c>
      <c r="E8" s="34" t="s">
        <v>15</v>
      </c>
    </row>
    <row r="9" spans="2:5" x14ac:dyDescent="0.6">
      <c r="B9" s="34"/>
      <c r="C9" s="95">
        <v>0</v>
      </c>
      <c r="D9" s="34" t="s">
        <v>13</v>
      </c>
      <c r="E9" s="34" t="s">
        <v>16</v>
      </c>
    </row>
    <row r="10" spans="2:5" x14ac:dyDescent="0.6">
      <c r="B10" s="34" t="s">
        <v>10</v>
      </c>
      <c r="C10" s="95">
        <v>150</v>
      </c>
      <c r="D10" s="34" t="s">
        <v>13</v>
      </c>
      <c r="E10" s="34" t="s">
        <v>21</v>
      </c>
    </row>
    <row r="11" spans="2:5" x14ac:dyDescent="0.6">
      <c r="B11" s="34" t="s">
        <v>138</v>
      </c>
      <c r="C11" s="95">
        <v>16500</v>
      </c>
      <c r="D11" s="34" t="s">
        <v>13</v>
      </c>
      <c r="E11" s="34" t="s">
        <v>17</v>
      </c>
    </row>
    <row r="12" spans="2:5" x14ac:dyDescent="0.6">
      <c r="B12" s="34" t="s">
        <v>11</v>
      </c>
      <c r="C12" s="95">
        <v>9000</v>
      </c>
      <c r="D12" s="34" t="s">
        <v>13</v>
      </c>
      <c r="E12" s="34" t="s">
        <v>17</v>
      </c>
    </row>
    <row r="13" spans="2:5" x14ac:dyDescent="0.6">
      <c r="B13" s="34" t="s">
        <v>129</v>
      </c>
      <c r="C13" s="95">
        <v>8847</v>
      </c>
      <c r="D13" s="34" t="s">
        <v>13</v>
      </c>
      <c r="E13" s="34" t="s">
        <v>17</v>
      </c>
    </row>
    <row r="14" spans="2:5" x14ac:dyDescent="0.6">
      <c r="B14" s="34" t="s">
        <v>144</v>
      </c>
      <c r="C14" s="95">
        <v>9500</v>
      </c>
      <c r="D14" s="34" t="s">
        <v>13</v>
      </c>
      <c r="E14" s="34" t="s">
        <v>17</v>
      </c>
    </row>
    <row r="15" spans="2:5" x14ac:dyDescent="0.6">
      <c r="B15" s="34" t="s">
        <v>130</v>
      </c>
      <c r="C15" s="95">
        <v>6855</v>
      </c>
      <c r="D15" s="34" t="s">
        <v>13</v>
      </c>
      <c r="E15" s="34" t="s">
        <v>18</v>
      </c>
    </row>
    <row r="16" spans="2:5" x14ac:dyDescent="0.6">
      <c r="B16" s="34" t="s">
        <v>12</v>
      </c>
      <c r="C16" s="95">
        <v>650</v>
      </c>
      <c r="D16" s="34" t="s">
        <v>13</v>
      </c>
      <c r="E16" s="34" t="s">
        <v>19</v>
      </c>
    </row>
    <row r="17" spans="2:5" x14ac:dyDescent="0.6">
      <c r="B17" s="34" t="s">
        <v>131</v>
      </c>
      <c r="C17" s="95">
        <v>1318</v>
      </c>
      <c r="D17" s="34" t="s">
        <v>13</v>
      </c>
      <c r="E17" s="34" t="s">
        <v>17</v>
      </c>
    </row>
    <row r="18" spans="2:5" x14ac:dyDescent="0.6">
      <c r="B18" s="34" t="s">
        <v>139</v>
      </c>
      <c r="C18" s="95">
        <v>1265</v>
      </c>
      <c r="D18" s="34" t="s">
        <v>14</v>
      </c>
      <c r="E18" s="34" t="s">
        <v>17</v>
      </c>
    </row>
    <row r="19" spans="2:5" x14ac:dyDescent="0.6">
      <c r="B19" s="34" t="s">
        <v>133</v>
      </c>
      <c r="C19" s="95">
        <v>7510</v>
      </c>
      <c r="D19" s="34" t="s">
        <v>14</v>
      </c>
      <c r="E19" s="34" t="s">
        <v>20</v>
      </c>
    </row>
    <row r="20" spans="2:5" x14ac:dyDescent="0.6">
      <c r="B20" s="34" t="s">
        <v>132</v>
      </c>
      <c r="C20" s="95">
        <v>70</v>
      </c>
      <c r="D20" s="34" t="s">
        <v>14</v>
      </c>
      <c r="E20" s="34" t="s">
        <v>20</v>
      </c>
    </row>
    <row r="21" spans="2:5" x14ac:dyDescent="0.6">
      <c r="B21" s="34" t="s">
        <v>141</v>
      </c>
      <c r="C21" s="95">
        <v>1880</v>
      </c>
      <c r="D21" s="34" t="s">
        <v>13</v>
      </c>
      <c r="E21" s="34" t="s">
        <v>18</v>
      </c>
    </row>
    <row r="22" spans="2:5" x14ac:dyDescent="0.6">
      <c r="B22" s="34" t="s">
        <v>142</v>
      </c>
      <c r="C22" s="95">
        <v>184</v>
      </c>
      <c r="D22" s="34"/>
      <c r="E22" s="34"/>
    </row>
    <row r="23" spans="2:5" x14ac:dyDescent="0.6">
      <c r="B23" s="34" t="s">
        <v>134</v>
      </c>
      <c r="C23" s="95">
        <v>8741</v>
      </c>
      <c r="D23" s="34" t="s">
        <v>13</v>
      </c>
      <c r="E23" s="34"/>
    </row>
    <row r="24" spans="2:5" x14ac:dyDescent="0.6">
      <c r="B24" s="34" t="s">
        <v>136</v>
      </c>
      <c r="C24" s="95">
        <v>25000</v>
      </c>
      <c r="D24" s="34"/>
      <c r="E24" s="34"/>
    </row>
    <row r="25" spans="2:5" x14ac:dyDescent="0.6">
      <c r="B25" s="34" t="s">
        <v>137</v>
      </c>
      <c r="C25" s="95">
        <v>22629</v>
      </c>
      <c r="D25" s="34"/>
      <c r="E25" s="34"/>
    </row>
    <row r="26" spans="2:5" x14ac:dyDescent="0.6">
      <c r="B26" s="34" t="s">
        <v>140</v>
      </c>
      <c r="C26" s="95">
        <v>3000</v>
      </c>
      <c r="D26" s="34"/>
      <c r="E26" s="34"/>
    </row>
    <row r="27" spans="2:5" x14ac:dyDescent="0.6">
      <c r="B27" s="34" t="s">
        <v>143</v>
      </c>
      <c r="C27" s="95">
        <v>11000</v>
      </c>
      <c r="D27" s="34"/>
      <c r="E27" s="34"/>
    </row>
    <row r="28" spans="2:5" x14ac:dyDescent="0.6">
      <c r="B28" s="34" t="s">
        <v>145</v>
      </c>
      <c r="C28" s="95">
        <v>3428</v>
      </c>
      <c r="D28" s="34"/>
      <c r="E28" s="34"/>
    </row>
    <row r="29" spans="2:5" x14ac:dyDescent="0.6">
      <c r="B29" s="34" t="s">
        <v>146</v>
      </c>
      <c r="C29" s="95">
        <v>22000</v>
      </c>
      <c r="D29" s="34"/>
      <c r="E29" s="34"/>
    </row>
    <row r="30" spans="2:5" x14ac:dyDescent="0.6">
      <c r="B30" s="34" t="s">
        <v>147</v>
      </c>
      <c r="C30" s="95">
        <v>4000</v>
      </c>
      <c r="D30" s="34"/>
      <c r="E30" s="34"/>
    </row>
    <row r="31" spans="2:5" x14ac:dyDescent="0.6">
      <c r="B31" s="34" t="s">
        <v>148</v>
      </c>
      <c r="C31" s="95">
        <v>9565.2999999999993</v>
      </c>
      <c r="D31" s="34"/>
      <c r="E31" s="34"/>
    </row>
    <row r="32" spans="2:5" x14ac:dyDescent="0.6">
      <c r="B32" s="34" t="s">
        <v>149</v>
      </c>
      <c r="C32" s="95">
        <v>16022.4</v>
      </c>
      <c r="D32" s="34"/>
      <c r="E32" s="34"/>
    </row>
    <row r="33" spans="2:5" x14ac:dyDescent="0.6">
      <c r="B33" s="34" t="s">
        <v>150</v>
      </c>
      <c r="C33" s="95">
        <v>4320</v>
      </c>
      <c r="D33" s="34"/>
      <c r="E33" s="34"/>
    </row>
    <row r="34" spans="2:5" x14ac:dyDescent="0.6">
      <c r="B34" s="34" t="s">
        <v>151</v>
      </c>
      <c r="C34" s="95">
        <v>315</v>
      </c>
      <c r="D34" s="34"/>
      <c r="E34" s="34"/>
    </row>
    <row r="35" spans="2:5" x14ac:dyDescent="0.6">
      <c r="B35" s="34" t="s">
        <v>152</v>
      </c>
      <c r="C35" s="95">
        <v>344</v>
      </c>
      <c r="D35" s="34"/>
      <c r="E35" s="34"/>
    </row>
    <row r="36" spans="2:5" x14ac:dyDescent="0.6">
      <c r="B36" s="34" t="s">
        <v>153</v>
      </c>
      <c r="C36" s="95">
        <v>2000</v>
      </c>
      <c r="D36" s="34"/>
      <c r="E36" s="34"/>
    </row>
    <row r="37" spans="2:5" x14ac:dyDescent="0.6">
      <c r="B37" s="34" t="s">
        <v>154</v>
      </c>
      <c r="C37" s="95">
        <v>3900</v>
      </c>
      <c r="D37" s="34"/>
      <c r="E37" s="34"/>
    </row>
    <row r="38" spans="2:5" x14ac:dyDescent="0.6">
      <c r="B38" s="34" t="s">
        <v>155</v>
      </c>
      <c r="C38" s="95">
        <v>26864</v>
      </c>
      <c r="D38" s="34"/>
      <c r="E38" s="34"/>
    </row>
    <row r="39" spans="2:5" x14ac:dyDescent="0.6">
      <c r="B39" s="34" t="s">
        <v>156</v>
      </c>
      <c r="C39" s="95">
        <v>7200</v>
      </c>
      <c r="D39" s="34"/>
      <c r="E39" s="34"/>
    </row>
    <row r="40" spans="2:5" x14ac:dyDescent="0.6">
      <c r="B40" s="34" t="s">
        <v>157</v>
      </c>
      <c r="C40" s="95">
        <v>4200</v>
      </c>
      <c r="D40" s="34"/>
      <c r="E40" s="34"/>
    </row>
    <row r="41" spans="2:5" x14ac:dyDescent="0.6">
      <c r="B41" s="34" t="s">
        <v>158</v>
      </c>
      <c r="C41" s="95">
        <v>13700</v>
      </c>
      <c r="D41" s="34"/>
      <c r="E41" s="34"/>
    </row>
    <row r="42" spans="2:5" x14ac:dyDescent="0.6">
      <c r="B42" s="34" t="s">
        <v>161</v>
      </c>
      <c r="C42" s="95">
        <v>23500</v>
      </c>
      <c r="D42" s="34"/>
      <c r="E42" s="34"/>
    </row>
    <row r="43" spans="2:5" x14ac:dyDescent="0.6">
      <c r="B43" s="34" t="s">
        <v>162</v>
      </c>
      <c r="C43" s="95">
        <v>4650</v>
      </c>
      <c r="D43" s="34"/>
      <c r="E43" s="34"/>
    </row>
    <row r="44" spans="2:5" x14ac:dyDescent="0.6">
      <c r="B44" s="34" t="s">
        <v>163</v>
      </c>
      <c r="C44" s="95">
        <v>800</v>
      </c>
      <c r="D44" s="34"/>
      <c r="E44" s="34"/>
    </row>
    <row r="45" spans="2:5" x14ac:dyDescent="0.6">
      <c r="B45" s="34" t="s">
        <v>164</v>
      </c>
      <c r="C45" s="95">
        <v>0</v>
      </c>
      <c r="D45" s="34"/>
      <c r="E45" s="34"/>
    </row>
    <row r="46" spans="2:5" x14ac:dyDescent="0.6">
      <c r="B46" s="34"/>
      <c r="C46" s="95">
        <v>0</v>
      </c>
      <c r="D46" s="34"/>
      <c r="E46" s="34"/>
    </row>
    <row r="47" spans="2:5" x14ac:dyDescent="0.6">
      <c r="B47" s="34"/>
      <c r="C47" s="95">
        <v>0</v>
      </c>
      <c r="D47" s="34"/>
      <c r="E47" s="34"/>
    </row>
    <row r="48" spans="2:5" x14ac:dyDescent="0.6">
      <c r="B48" s="34"/>
      <c r="C48" s="95">
        <v>0</v>
      </c>
      <c r="D48" s="34"/>
      <c r="E48" s="34"/>
    </row>
    <row r="49" spans="2:5" x14ac:dyDescent="0.6">
      <c r="B49" s="34"/>
      <c r="C49" s="95"/>
      <c r="D49" s="34"/>
      <c r="E49" s="34"/>
    </row>
    <row r="50" spans="2:5" x14ac:dyDescent="0.6">
      <c r="B50" s="34"/>
      <c r="C50" s="95"/>
      <c r="D50" s="34"/>
      <c r="E50" s="34"/>
    </row>
    <row r="51" spans="2:5" x14ac:dyDescent="0.6">
      <c r="B51" s="34"/>
      <c r="C51" s="95"/>
      <c r="D51" s="34"/>
      <c r="E51" s="34"/>
    </row>
    <row r="52" spans="2:5" x14ac:dyDescent="0.6">
      <c r="B52" s="34"/>
      <c r="C52" s="95"/>
      <c r="D52" s="34"/>
      <c r="E52" s="34"/>
    </row>
    <row r="53" spans="2:5" x14ac:dyDescent="0.6">
      <c r="B53" s="34"/>
      <c r="C53" s="95"/>
      <c r="D53" s="34"/>
      <c r="E53" s="34"/>
    </row>
    <row r="54" spans="2:5" x14ac:dyDescent="0.6">
      <c r="B54" s="34"/>
      <c r="C54" s="95"/>
      <c r="D54" s="34"/>
      <c r="E54" s="34"/>
    </row>
    <row r="55" spans="2:5" x14ac:dyDescent="0.6">
      <c r="B55" s="34"/>
      <c r="C55" s="95"/>
      <c r="D55" s="34"/>
      <c r="E55" s="34"/>
    </row>
    <row r="56" spans="2:5" x14ac:dyDescent="0.6">
      <c r="B56" s="34"/>
      <c r="C56" s="95"/>
      <c r="D56" s="34"/>
      <c r="E56" s="34"/>
    </row>
    <row r="57" spans="2:5" x14ac:dyDescent="0.6">
      <c r="B57" s="34"/>
      <c r="C57" s="95"/>
      <c r="D57" s="34"/>
      <c r="E57" s="34"/>
    </row>
    <row r="58" spans="2:5" x14ac:dyDescent="0.6">
      <c r="B58" s="34"/>
      <c r="C58" s="95"/>
      <c r="D58" s="34"/>
      <c r="E58" s="34"/>
    </row>
    <row r="59" spans="2:5" x14ac:dyDescent="0.6">
      <c r="B59" s="34"/>
      <c r="C59" s="95"/>
      <c r="D59" s="34"/>
      <c r="E59" s="34"/>
    </row>
    <row r="60" spans="2:5" x14ac:dyDescent="0.6">
      <c r="B60" s="34"/>
      <c r="C60" s="95"/>
      <c r="D60" s="34"/>
      <c r="E60" s="34"/>
    </row>
    <row r="61" spans="2:5" x14ac:dyDescent="0.6">
      <c r="B61" s="34"/>
      <c r="C61" s="95"/>
      <c r="D61" s="34"/>
      <c r="E61" s="34"/>
    </row>
    <row r="62" spans="2:5" x14ac:dyDescent="0.6">
      <c r="B62" s="34"/>
      <c r="C62" s="95"/>
      <c r="D62" s="34"/>
      <c r="E62" s="34"/>
    </row>
    <row r="63" spans="2:5" x14ac:dyDescent="0.6">
      <c r="B63" s="34"/>
      <c r="C63" s="95"/>
      <c r="D63" s="34"/>
      <c r="E63" s="34"/>
    </row>
    <row r="64" spans="2:5" x14ac:dyDescent="0.6">
      <c r="B64" s="34"/>
      <c r="C64" s="95"/>
      <c r="D64" s="34"/>
      <c r="E64" s="34"/>
    </row>
    <row r="65" spans="2:5" x14ac:dyDescent="0.6">
      <c r="B65" s="34"/>
      <c r="C65" s="95"/>
      <c r="D65" s="34"/>
      <c r="E65" s="34"/>
    </row>
    <row r="66" spans="2:5" x14ac:dyDescent="0.6">
      <c r="B66" s="34"/>
      <c r="C66" s="95"/>
      <c r="D66" s="34"/>
      <c r="E66" s="34"/>
    </row>
    <row r="67" spans="2:5" x14ac:dyDescent="0.6">
      <c r="B67" s="34"/>
      <c r="C67" s="95"/>
      <c r="D67" s="34"/>
      <c r="E67" s="34"/>
    </row>
    <row r="68" spans="2:5" x14ac:dyDescent="0.6">
      <c r="B68" s="34"/>
      <c r="C68" s="95"/>
      <c r="D68" s="34"/>
      <c r="E68" s="34"/>
    </row>
    <row r="69" spans="2:5" x14ac:dyDescent="0.6">
      <c r="B69" s="34"/>
      <c r="C69" s="95"/>
      <c r="D69" s="34"/>
      <c r="E69" s="34"/>
    </row>
    <row r="70" spans="2:5" x14ac:dyDescent="0.6">
      <c r="B70" s="34"/>
      <c r="C70" s="95"/>
      <c r="D70" s="34"/>
      <c r="E70" s="34"/>
    </row>
    <row r="71" spans="2:5" x14ac:dyDescent="0.6">
      <c r="B71" s="34"/>
      <c r="C71" s="95"/>
      <c r="D71" s="34"/>
      <c r="E71" s="34"/>
    </row>
    <row r="72" spans="2:5" x14ac:dyDescent="0.6">
      <c r="B72" s="34"/>
      <c r="C72" s="95"/>
      <c r="D72" s="34"/>
      <c r="E72" s="34"/>
    </row>
    <row r="73" spans="2:5" x14ac:dyDescent="0.6">
      <c r="B73" s="34"/>
      <c r="C73" s="95"/>
      <c r="D73" s="34"/>
      <c r="E73" s="34"/>
    </row>
    <row r="74" spans="2:5" x14ac:dyDescent="0.6">
      <c r="B74" s="34"/>
      <c r="C74" s="95"/>
      <c r="D74" s="34"/>
      <c r="E74" s="34"/>
    </row>
    <row r="75" spans="2:5" x14ac:dyDescent="0.6">
      <c r="B75" s="34"/>
      <c r="C75" s="95"/>
      <c r="D75" s="34"/>
      <c r="E75" s="34"/>
    </row>
    <row r="76" spans="2:5" x14ac:dyDescent="0.6">
      <c r="B76" s="34"/>
      <c r="C76" s="95"/>
      <c r="D76" s="34"/>
      <c r="E76" s="34"/>
    </row>
    <row r="77" spans="2:5" x14ac:dyDescent="0.6">
      <c r="B77" s="34"/>
      <c r="C77" s="95"/>
      <c r="D77" s="34"/>
      <c r="E77" s="34"/>
    </row>
    <row r="78" spans="2:5" x14ac:dyDescent="0.6">
      <c r="B78" s="34"/>
      <c r="C78" s="95"/>
      <c r="D78" s="34"/>
      <c r="E78" s="34"/>
    </row>
    <row r="79" spans="2:5" x14ac:dyDescent="0.6">
      <c r="B79" s="34"/>
      <c r="C79" s="95"/>
      <c r="D79" s="34"/>
      <c r="E79" s="34"/>
    </row>
    <row r="80" spans="2:5" x14ac:dyDescent="0.6">
      <c r="B80" s="34"/>
      <c r="C80" s="95"/>
      <c r="D80" s="34"/>
      <c r="E80" s="34"/>
    </row>
    <row r="81" spans="2:5" x14ac:dyDescent="0.6">
      <c r="B81" s="34"/>
      <c r="C81" s="95"/>
      <c r="D81" s="34"/>
      <c r="E81" s="34"/>
    </row>
    <row r="82" spans="2:5" x14ac:dyDescent="0.6">
      <c r="B82" s="34"/>
      <c r="C82" s="95"/>
      <c r="D82" s="34"/>
      <c r="E82" s="34"/>
    </row>
    <row r="83" spans="2:5" x14ac:dyDescent="0.6">
      <c r="B83" s="34"/>
      <c r="C83" s="95"/>
      <c r="D83" s="34"/>
      <c r="E83" s="34"/>
    </row>
    <row r="84" spans="2:5" x14ac:dyDescent="0.6">
      <c r="B84" s="34"/>
      <c r="C84" s="95"/>
      <c r="D84" s="34"/>
      <c r="E84" s="34"/>
    </row>
    <row r="85" spans="2:5" x14ac:dyDescent="0.6">
      <c r="B85" s="34"/>
      <c r="C85" s="95"/>
      <c r="D85" s="34"/>
      <c r="E85" s="34"/>
    </row>
    <row r="86" spans="2:5" x14ac:dyDescent="0.6">
      <c r="B86" s="34"/>
      <c r="C86" s="95"/>
      <c r="D86" s="34"/>
      <c r="E86" s="34"/>
    </row>
    <row r="87" spans="2:5" x14ac:dyDescent="0.6">
      <c r="B87" s="34"/>
      <c r="C87" s="95"/>
      <c r="D87" s="34"/>
      <c r="E87" s="34"/>
    </row>
    <row r="88" spans="2:5" x14ac:dyDescent="0.6">
      <c r="B88" s="34"/>
      <c r="C88" s="95"/>
      <c r="D88" s="34"/>
      <c r="E88" s="34"/>
    </row>
    <row r="89" spans="2:5" x14ac:dyDescent="0.6">
      <c r="B89" s="34"/>
      <c r="C89" s="95"/>
      <c r="D89" s="34"/>
      <c r="E89" s="34"/>
    </row>
    <row r="90" spans="2:5" x14ac:dyDescent="0.6">
      <c r="B90" s="34"/>
      <c r="C90" s="95"/>
      <c r="D90" s="34"/>
      <c r="E90" s="34"/>
    </row>
    <row r="91" spans="2:5" x14ac:dyDescent="0.6">
      <c r="B91" s="34"/>
      <c r="C91" s="95"/>
      <c r="D91" s="34"/>
      <c r="E91" s="34"/>
    </row>
    <row r="92" spans="2:5" x14ac:dyDescent="0.6">
      <c r="B92" s="34"/>
      <c r="C92" s="95"/>
      <c r="D92" s="34"/>
      <c r="E92" s="34"/>
    </row>
    <row r="93" spans="2:5" x14ac:dyDescent="0.6">
      <c r="B93" s="34"/>
      <c r="C93" s="95"/>
      <c r="D93" s="34"/>
      <c r="E93" s="34"/>
    </row>
    <row r="94" spans="2:5" x14ac:dyDescent="0.6">
      <c r="B94" s="34"/>
      <c r="C94" s="95"/>
      <c r="D94" s="34"/>
      <c r="E94" s="34"/>
    </row>
    <row r="95" spans="2:5" x14ac:dyDescent="0.6">
      <c r="B95" s="34"/>
      <c r="C95" s="95"/>
      <c r="D95" s="34"/>
      <c r="E95" s="34"/>
    </row>
    <row r="96" spans="2:5" x14ac:dyDescent="0.6">
      <c r="B96" s="34"/>
      <c r="C96" s="95"/>
      <c r="D96" s="34"/>
      <c r="E96" s="34"/>
    </row>
    <row r="97" spans="2:5" x14ac:dyDescent="0.6">
      <c r="B97" s="34"/>
      <c r="C97" s="95"/>
      <c r="D97" s="34"/>
      <c r="E97" s="34"/>
    </row>
    <row r="98" spans="2:5" x14ac:dyDescent="0.6">
      <c r="B98" s="34"/>
      <c r="C98" s="95"/>
      <c r="D98" s="34"/>
      <c r="E98" s="34"/>
    </row>
    <row r="99" spans="2:5" x14ac:dyDescent="0.6">
      <c r="B99" s="34"/>
      <c r="C99" s="95"/>
      <c r="D99" s="34"/>
      <c r="E99" s="34"/>
    </row>
    <row r="100" spans="2:5" x14ac:dyDescent="0.6">
      <c r="B100" s="34"/>
      <c r="C100" s="95"/>
      <c r="D100" s="34"/>
      <c r="E100" s="34"/>
    </row>
    <row r="101" spans="2:5" x14ac:dyDescent="0.6">
      <c r="B101" s="34"/>
      <c r="C101" s="95"/>
      <c r="D101" s="34"/>
      <c r="E101" s="34"/>
    </row>
    <row r="102" spans="2:5" x14ac:dyDescent="0.6">
      <c r="B102" s="34"/>
      <c r="C102" s="95"/>
      <c r="D102" s="34"/>
      <c r="E102" s="34"/>
    </row>
    <row r="103" spans="2:5" x14ac:dyDescent="0.6">
      <c r="B103" s="34"/>
      <c r="C103" s="95"/>
      <c r="D103" s="34"/>
      <c r="E103" s="34"/>
    </row>
    <row r="104" spans="2:5" x14ac:dyDescent="0.6">
      <c r="B104" s="34"/>
      <c r="C104" s="95"/>
      <c r="D104" s="34"/>
      <c r="E104" s="34"/>
    </row>
    <row r="105" spans="2:5" x14ac:dyDescent="0.6">
      <c r="B105" s="34"/>
      <c r="C105" s="95"/>
      <c r="D105" s="34"/>
      <c r="E105" s="34"/>
    </row>
    <row r="106" spans="2:5" x14ac:dyDescent="0.6">
      <c r="B106" s="34"/>
      <c r="C106" s="95"/>
      <c r="D106" s="34"/>
      <c r="E106" s="34"/>
    </row>
    <row r="107" spans="2:5" x14ac:dyDescent="0.6">
      <c r="B107" s="34"/>
      <c r="C107" s="95"/>
      <c r="D107" s="34"/>
      <c r="E107" s="34"/>
    </row>
    <row r="108" spans="2:5" x14ac:dyDescent="0.6">
      <c r="B108" s="34"/>
      <c r="C108" s="95"/>
      <c r="D108" s="34"/>
      <c r="E108" s="34"/>
    </row>
    <row r="109" spans="2:5" x14ac:dyDescent="0.6">
      <c r="B109" s="34"/>
      <c r="C109" s="95"/>
      <c r="D109" s="34"/>
      <c r="E109" s="34"/>
    </row>
    <row r="110" spans="2:5" x14ac:dyDescent="0.6">
      <c r="B110" s="34"/>
      <c r="C110" s="95"/>
      <c r="D110" s="34"/>
      <c r="E110" s="34"/>
    </row>
    <row r="111" spans="2:5" x14ac:dyDescent="0.6">
      <c r="B111" s="34"/>
      <c r="C111" s="95"/>
      <c r="D111" s="34"/>
      <c r="E111" s="34"/>
    </row>
    <row r="112" spans="2:5" x14ac:dyDescent="0.6">
      <c r="B112" s="34"/>
      <c r="C112" s="95"/>
      <c r="D112" s="34"/>
      <c r="E112" s="34"/>
    </row>
    <row r="113" spans="2:5" x14ac:dyDescent="0.6">
      <c r="B113" s="34"/>
      <c r="C113" s="95"/>
      <c r="D113" s="34"/>
      <c r="E113" s="34"/>
    </row>
    <row r="114" spans="2:5" x14ac:dyDescent="0.6">
      <c r="B114" s="34"/>
      <c r="C114" s="95"/>
      <c r="D114" s="34"/>
      <c r="E114" s="34"/>
    </row>
    <row r="115" spans="2:5" x14ac:dyDescent="0.6">
      <c r="B115" s="34"/>
      <c r="C115" s="95"/>
      <c r="D115" s="34"/>
      <c r="E115" s="34"/>
    </row>
    <row r="116" spans="2:5" x14ac:dyDescent="0.6">
      <c r="B116" s="34"/>
      <c r="C116" s="95"/>
      <c r="D116" s="34"/>
      <c r="E116" s="34"/>
    </row>
    <row r="117" spans="2:5" x14ac:dyDescent="0.6">
      <c r="B117" s="34"/>
      <c r="C117" s="95"/>
      <c r="D117" s="34"/>
      <c r="E117" s="34"/>
    </row>
    <row r="118" spans="2:5" x14ac:dyDescent="0.6">
      <c r="B118" s="34"/>
      <c r="C118" s="95"/>
      <c r="D118" s="34"/>
      <c r="E118" s="34"/>
    </row>
    <row r="119" spans="2:5" x14ac:dyDescent="0.6">
      <c r="B119" s="34"/>
      <c r="C119" s="95"/>
      <c r="D119" s="34"/>
      <c r="E119" s="34"/>
    </row>
    <row r="120" spans="2:5" x14ac:dyDescent="0.6">
      <c r="B120" s="34"/>
      <c r="C120" s="95"/>
      <c r="D120" s="34"/>
      <c r="E120" s="34"/>
    </row>
    <row r="121" spans="2:5" x14ac:dyDescent="0.6">
      <c r="B121" s="34"/>
      <c r="C121" s="95"/>
      <c r="D121" s="34"/>
      <c r="E121" s="34"/>
    </row>
    <row r="122" spans="2:5" x14ac:dyDescent="0.6">
      <c r="B122" s="34"/>
      <c r="C122" s="95"/>
      <c r="D122" s="34"/>
      <c r="E122" s="34"/>
    </row>
    <row r="123" spans="2:5" x14ac:dyDescent="0.6">
      <c r="B123" s="34"/>
      <c r="C123" s="95"/>
      <c r="D123" s="34"/>
      <c r="E123" s="34"/>
    </row>
    <row r="124" spans="2:5" x14ac:dyDescent="0.6">
      <c r="B124" s="34"/>
      <c r="C124" s="95"/>
      <c r="D124" s="34"/>
      <c r="E124" s="34"/>
    </row>
    <row r="125" spans="2:5" x14ac:dyDescent="0.6">
      <c r="B125" s="34"/>
      <c r="C125" s="95"/>
      <c r="D125" s="34"/>
      <c r="E125" s="34"/>
    </row>
    <row r="126" spans="2:5" x14ac:dyDescent="0.6">
      <c r="B126" s="34"/>
      <c r="C126" s="95"/>
      <c r="D126" s="34"/>
      <c r="E126" s="34"/>
    </row>
    <row r="127" spans="2:5" x14ac:dyDescent="0.6">
      <c r="B127" s="34"/>
      <c r="C127" s="95"/>
      <c r="D127" s="34"/>
      <c r="E127" s="34"/>
    </row>
    <row r="128" spans="2:5" x14ac:dyDescent="0.6">
      <c r="B128" s="34"/>
      <c r="C128" s="95"/>
      <c r="D128" s="34"/>
      <c r="E128" s="34"/>
    </row>
    <row r="129" spans="2:5" x14ac:dyDescent="0.6">
      <c r="B129" s="34"/>
      <c r="C129" s="95"/>
      <c r="D129" s="34"/>
      <c r="E129" s="34"/>
    </row>
    <row r="130" spans="2:5" x14ac:dyDescent="0.6">
      <c r="B130" s="34"/>
      <c r="C130" s="95"/>
      <c r="D130" s="34"/>
      <c r="E130" s="34"/>
    </row>
    <row r="131" spans="2:5" x14ac:dyDescent="0.6">
      <c r="B131" s="34"/>
      <c r="C131" s="95"/>
      <c r="D131" s="34"/>
      <c r="E131" s="34"/>
    </row>
    <row r="132" spans="2:5" x14ac:dyDescent="0.6">
      <c r="B132" s="34"/>
      <c r="C132" s="95"/>
      <c r="D132" s="34"/>
      <c r="E132" s="34"/>
    </row>
    <row r="133" spans="2:5" x14ac:dyDescent="0.6">
      <c r="B133" s="34"/>
      <c r="C133" s="95"/>
      <c r="D133" s="34"/>
      <c r="E133" s="34"/>
    </row>
    <row r="134" spans="2:5" x14ac:dyDescent="0.6">
      <c r="B134" s="34"/>
      <c r="C134" s="95"/>
      <c r="D134" s="34"/>
      <c r="E134" s="34"/>
    </row>
    <row r="135" spans="2:5" x14ac:dyDescent="0.6">
      <c r="B135" s="34"/>
      <c r="C135" s="95"/>
      <c r="D135" s="34"/>
      <c r="E135" s="34"/>
    </row>
    <row r="136" spans="2:5" x14ac:dyDescent="0.6">
      <c r="B136" s="34"/>
      <c r="C136" s="95"/>
      <c r="D136" s="34"/>
      <c r="E136" s="34"/>
    </row>
    <row r="137" spans="2:5" x14ac:dyDescent="0.6">
      <c r="B137" s="34"/>
      <c r="C137" s="95"/>
      <c r="D137" s="34"/>
      <c r="E137" s="34"/>
    </row>
    <row r="138" spans="2:5" x14ac:dyDescent="0.6">
      <c r="B138" s="34"/>
      <c r="C138" s="95"/>
      <c r="D138" s="34"/>
      <c r="E138" s="34"/>
    </row>
    <row r="139" spans="2:5" x14ac:dyDescent="0.6">
      <c r="B139" s="34"/>
      <c r="C139" s="95"/>
      <c r="D139" s="34"/>
      <c r="E139" s="34"/>
    </row>
    <row r="140" spans="2:5" x14ac:dyDescent="0.6">
      <c r="B140" s="34"/>
      <c r="C140" s="95"/>
      <c r="D140" s="34"/>
      <c r="E140" s="34"/>
    </row>
    <row r="141" spans="2:5" x14ac:dyDescent="0.6">
      <c r="B141" s="34"/>
      <c r="C141" s="95"/>
      <c r="D141" s="34"/>
      <c r="E141" s="34"/>
    </row>
    <row r="142" spans="2:5" x14ac:dyDescent="0.6">
      <c r="B142" s="34"/>
      <c r="C142" s="95"/>
      <c r="D142" s="34"/>
      <c r="E142" s="34"/>
    </row>
    <row r="143" spans="2:5" x14ac:dyDescent="0.6">
      <c r="B143" s="34"/>
      <c r="C143" s="95"/>
      <c r="D143" s="34"/>
      <c r="E143" s="34"/>
    </row>
    <row r="144" spans="2:5" x14ac:dyDescent="0.6">
      <c r="B144" s="34"/>
      <c r="C144" s="95"/>
      <c r="D144" s="34"/>
      <c r="E144" s="34"/>
    </row>
    <row r="145" spans="2:5" x14ac:dyDescent="0.6">
      <c r="B145" s="34"/>
      <c r="C145" s="95"/>
      <c r="D145" s="34"/>
      <c r="E145" s="34"/>
    </row>
    <row r="146" spans="2:5" x14ac:dyDescent="0.6">
      <c r="B146" s="34"/>
      <c r="C146" s="95"/>
      <c r="D146" s="34"/>
      <c r="E146" s="34"/>
    </row>
    <row r="147" spans="2:5" x14ac:dyDescent="0.6">
      <c r="B147" s="34"/>
      <c r="C147" s="95"/>
      <c r="D147" s="34"/>
      <c r="E147" s="34"/>
    </row>
    <row r="148" spans="2:5" x14ac:dyDescent="0.6">
      <c r="B148" s="34"/>
      <c r="C148" s="95"/>
      <c r="D148" s="34"/>
      <c r="E148" s="34"/>
    </row>
    <row r="149" spans="2:5" x14ac:dyDescent="0.6">
      <c r="B149" s="34"/>
      <c r="C149" s="95"/>
      <c r="D149" s="34"/>
      <c r="E149" s="34"/>
    </row>
    <row r="150" spans="2:5" x14ac:dyDescent="0.6">
      <c r="B150" s="34"/>
      <c r="C150" s="95"/>
      <c r="D150" s="34"/>
      <c r="E150" s="34"/>
    </row>
    <row r="151" spans="2:5" x14ac:dyDescent="0.6">
      <c r="B151" s="34"/>
      <c r="C151" s="95"/>
      <c r="D151" s="34"/>
      <c r="E151" s="34"/>
    </row>
    <row r="152" spans="2:5" x14ac:dyDescent="0.6">
      <c r="B152" s="34"/>
      <c r="C152" s="95"/>
      <c r="D152" s="34"/>
      <c r="E152" s="34"/>
    </row>
    <row r="153" spans="2:5" x14ac:dyDescent="0.6">
      <c r="B153" s="34"/>
      <c r="C153" s="95"/>
      <c r="D153" s="34"/>
      <c r="E153" s="34"/>
    </row>
    <row r="154" spans="2:5" x14ac:dyDescent="0.6">
      <c r="B154" s="34"/>
      <c r="C154" s="95"/>
      <c r="D154" s="34"/>
      <c r="E154" s="34"/>
    </row>
    <row r="155" spans="2:5" x14ac:dyDescent="0.6">
      <c r="B155" s="34"/>
      <c r="C155" s="95"/>
      <c r="D155" s="34"/>
      <c r="E155" s="34"/>
    </row>
    <row r="156" spans="2:5" x14ac:dyDescent="0.6">
      <c r="B156" s="34"/>
      <c r="C156" s="95"/>
      <c r="D156" s="34"/>
      <c r="E156" s="34"/>
    </row>
    <row r="157" spans="2:5" x14ac:dyDescent="0.6">
      <c r="B157" s="34"/>
      <c r="C157" s="95"/>
      <c r="D157" s="34"/>
      <c r="E157" s="34"/>
    </row>
    <row r="158" spans="2:5" x14ac:dyDescent="0.6">
      <c r="B158" s="34"/>
      <c r="C158" s="95"/>
      <c r="D158" s="34"/>
      <c r="E158" s="34"/>
    </row>
    <row r="159" spans="2:5" x14ac:dyDescent="0.6">
      <c r="B159" s="34"/>
      <c r="C159" s="95"/>
      <c r="D159" s="34"/>
      <c r="E159" s="34"/>
    </row>
    <row r="160" spans="2:5" x14ac:dyDescent="0.6">
      <c r="B160" s="34"/>
      <c r="C160" s="95"/>
      <c r="D160" s="34"/>
      <c r="E160" s="34"/>
    </row>
    <row r="161" spans="2:5" x14ac:dyDescent="0.6">
      <c r="B161" s="34"/>
      <c r="C161" s="95"/>
      <c r="D161" s="34"/>
      <c r="E161" s="34"/>
    </row>
    <row r="162" spans="2:5" x14ac:dyDescent="0.6">
      <c r="B162" s="34"/>
      <c r="C162" s="95"/>
      <c r="D162" s="34"/>
      <c r="E162" s="34"/>
    </row>
    <row r="163" spans="2:5" x14ac:dyDescent="0.6">
      <c r="B163" s="34"/>
      <c r="C163" s="95"/>
      <c r="D163" s="34"/>
      <c r="E163" s="34"/>
    </row>
    <row r="164" spans="2:5" x14ac:dyDescent="0.6">
      <c r="B164" s="34"/>
      <c r="C164" s="95"/>
      <c r="D164" s="34"/>
      <c r="E164" s="34"/>
    </row>
    <row r="165" spans="2:5" x14ac:dyDescent="0.6">
      <c r="B165" s="34"/>
      <c r="C165" s="95"/>
      <c r="D165" s="34"/>
      <c r="E165" s="34"/>
    </row>
    <row r="166" spans="2:5" x14ac:dyDescent="0.6">
      <c r="B166" s="34"/>
      <c r="C166" s="95"/>
      <c r="D166" s="34"/>
      <c r="E166" s="34"/>
    </row>
    <row r="167" spans="2:5" x14ac:dyDescent="0.6">
      <c r="B167" s="34"/>
      <c r="C167" s="95"/>
      <c r="D167" s="34"/>
      <c r="E167" s="34"/>
    </row>
    <row r="168" spans="2:5" x14ac:dyDescent="0.6">
      <c r="B168" s="34"/>
      <c r="C168" s="95"/>
      <c r="D168" s="34"/>
      <c r="E168" s="34"/>
    </row>
    <row r="169" spans="2:5" x14ac:dyDescent="0.6">
      <c r="B169" s="34"/>
      <c r="C169" s="95"/>
      <c r="D169" s="34"/>
      <c r="E169" s="34"/>
    </row>
    <row r="170" spans="2:5" x14ac:dyDescent="0.6">
      <c r="B170" s="34"/>
      <c r="C170" s="95"/>
      <c r="D170" s="34"/>
      <c r="E170" s="34"/>
    </row>
    <row r="171" spans="2:5" x14ac:dyDescent="0.6">
      <c r="B171" s="34"/>
      <c r="C171" s="95"/>
      <c r="D171" s="34"/>
      <c r="E171" s="34"/>
    </row>
    <row r="172" spans="2:5" x14ac:dyDescent="0.6">
      <c r="B172" s="34"/>
      <c r="C172" s="95"/>
      <c r="D172" s="34"/>
      <c r="E172" s="34"/>
    </row>
    <row r="173" spans="2:5" x14ac:dyDescent="0.6">
      <c r="B173" s="34"/>
      <c r="C173" s="95"/>
      <c r="D173" s="34"/>
      <c r="E173" s="34"/>
    </row>
    <row r="174" spans="2:5" x14ac:dyDescent="0.6">
      <c r="B174" s="34"/>
      <c r="C174" s="95"/>
      <c r="D174" s="34"/>
      <c r="E174" s="34"/>
    </row>
    <row r="175" spans="2:5" x14ac:dyDescent="0.6">
      <c r="B175" s="34"/>
      <c r="C175" s="95"/>
      <c r="D175" s="34"/>
      <c r="E175" s="34"/>
    </row>
    <row r="176" spans="2:5" x14ac:dyDescent="0.6">
      <c r="B176" s="34"/>
      <c r="C176" s="95"/>
      <c r="D176" s="34"/>
      <c r="E176" s="34"/>
    </row>
    <row r="177" spans="2:5" x14ac:dyDescent="0.6">
      <c r="B177" s="34"/>
      <c r="C177" s="95"/>
      <c r="D177" s="34"/>
      <c r="E177" s="34"/>
    </row>
    <row r="178" spans="2:5" x14ac:dyDescent="0.6">
      <c r="B178" s="34"/>
      <c r="C178" s="95"/>
      <c r="D178" s="34"/>
      <c r="E178" s="34"/>
    </row>
    <row r="179" spans="2:5" x14ac:dyDescent="0.6">
      <c r="B179" s="34"/>
      <c r="C179" s="95"/>
      <c r="D179" s="34"/>
      <c r="E179" s="34"/>
    </row>
    <row r="180" spans="2:5" x14ac:dyDescent="0.6">
      <c r="B180" s="34"/>
      <c r="C180" s="95"/>
      <c r="D180" s="34"/>
      <c r="E180" s="34"/>
    </row>
    <row r="181" spans="2:5" x14ac:dyDescent="0.6">
      <c r="B181" s="34"/>
      <c r="C181" s="95"/>
      <c r="D181" s="34"/>
      <c r="E181" s="34"/>
    </row>
    <row r="182" spans="2:5" x14ac:dyDescent="0.6">
      <c r="B182" s="34"/>
      <c r="C182" s="95"/>
      <c r="D182" s="34"/>
      <c r="E182" s="34"/>
    </row>
    <row r="183" spans="2:5" x14ac:dyDescent="0.6">
      <c r="B183" s="34"/>
      <c r="C183" s="95"/>
      <c r="D183" s="34"/>
      <c r="E183" s="34"/>
    </row>
    <row r="184" spans="2:5" x14ac:dyDescent="0.6">
      <c r="B184" s="34"/>
      <c r="C184" s="95"/>
      <c r="D184" s="34"/>
      <c r="E184" s="34"/>
    </row>
    <row r="185" spans="2:5" x14ac:dyDescent="0.6">
      <c r="B185" s="34"/>
      <c r="C185" s="95"/>
      <c r="D185" s="34"/>
      <c r="E185" s="34"/>
    </row>
    <row r="186" spans="2:5" x14ac:dyDescent="0.6">
      <c r="B186" s="34"/>
      <c r="C186" s="95"/>
      <c r="D186" s="34"/>
      <c r="E186" s="34"/>
    </row>
    <row r="187" spans="2:5" x14ac:dyDescent="0.6">
      <c r="B187" s="34"/>
      <c r="C187" s="95"/>
      <c r="D187" s="34"/>
      <c r="E187" s="34"/>
    </row>
    <row r="188" spans="2:5" x14ac:dyDescent="0.6">
      <c r="B188" s="34"/>
      <c r="C188" s="95"/>
      <c r="D188" s="34"/>
      <c r="E188" s="34"/>
    </row>
    <row r="189" spans="2:5" x14ac:dyDescent="0.6">
      <c r="B189" s="34"/>
      <c r="C189" s="95"/>
      <c r="D189" s="34"/>
      <c r="E189" s="34"/>
    </row>
    <row r="190" spans="2:5" x14ac:dyDescent="0.6">
      <c r="B190" s="34"/>
      <c r="C190" s="95"/>
      <c r="D190" s="34"/>
      <c r="E190" s="34"/>
    </row>
    <row r="191" spans="2:5" x14ac:dyDescent="0.6">
      <c r="B191" s="34"/>
      <c r="C191" s="95"/>
      <c r="D191" s="34"/>
      <c r="E191" s="34"/>
    </row>
    <row r="192" spans="2:5" x14ac:dyDescent="0.6">
      <c r="B192" s="34"/>
      <c r="C192" s="95"/>
      <c r="D192" s="34"/>
      <c r="E192" s="34"/>
    </row>
    <row r="193" spans="2:5" x14ac:dyDescent="0.6">
      <c r="B193" s="34"/>
      <c r="C193" s="95"/>
      <c r="D193" s="34"/>
      <c r="E193" s="34"/>
    </row>
    <row r="194" spans="2:5" x14ac:dyDescent="0.6">
      <c r="B194" s="34"/>
      <c r="C194" s="95"/>
      <c r="D194" s="34"/>
      <c r="E194" s="34"/>
    </row>
    <row r="195" spans="2:5" x14ac:dyDescent="0.6">
      <c r="B195" s="34"/>
      <c r="C195" s="95"/>
      <c r="D195" s="34"/>
      <c r="E195" s="34"/>
    </row>
    <row r="196" spans="2:5" x14ac:dyDescent="0.6">
      <c r="B196" s="34"/>
      <c r="C196" s="95"/>
      <c r="D196" s="34"/>
      <c r="E196" s="34"/>
    </row>
    <row r="197" spans="2:5" x14ac:dyDescent="0.6">
      <c r="B197" s="34"/>
      <c r="C197" s="95"/>
      <c r="D197" s="34"/>
      <c r="E197" s="34"/>
    </row>
    <row r="198" spans="2:5" x14ac:dyDescent="0.6">
      <c r="B198" s="34"/>
      <c r="C198" s="95"/>
      <c r="D198" s="34"/>
      <c r="E198" s="34"/>
    </row>
    <row r="199" spans="2:5" x14ac:dyDescent="0.6">
      <c r="B199" s="34"/>
      <c r="C199" s="95"/>
      <c r="D199" s="34"/>
      <c r="E199" s="34"/>
    </row>
    <row r="200" spans="2:5" x14ac:dyDescent="0.6">
      <c r="B200" s="34"/>
      <c r="C200" s="95"/>
      <c r="D200" s="34"/>
      <c r="E200" s="34"/>
    </row>
    <row r="201" spans="2:5" x14ac:dyDescent="0.6">
      <c r="B201" s="34"/>
      <c r="C201" s="95"/>
      <c r="D201" s="34"/>
      <c r="E201" s="34"/>
    </row>
    <row r="202" spans="2:5" x14ac:dyDescent="0.6">
      <c r="B202" s="34"/>
      <c r="C202" s="95"/>
      <c r="D202" s="34"/>
      <c r="E202" s="34"/>
    </row>
    <row r="203" spans="2:5" x14ac:dyDescent="0.6">
      <c r="B203" s="34"/>
      <c r="C203" s="95"/>
      <c r="D203" s="34"/>
      <c r="E203" s="34"/>
    </row>
    <row r="204" spans="2:5" x14ac:dyDescent="0.6">
      <c r="B204" s="34"/>
      <c r="C204" s="95"/>
      <c r="D204" s="34"/>
      <c r="E204" s="34"/>
    </row>
    <row r="205" spans="2:5" x14ac:dyDescent="0.6">
      <c r="B205" s="34"/>
      <c r="C205" s="95"/>
      <c r="D205" s="34"/>
      <c r="E205" s="34"/>
    </row>
    <row r="206" spans="2:5" x14ac:dyDescent="0.6">
      <c r="B206" s="34"/>
      <c r="C206" s="95"/>
      <c r="D206" s="34"/>
      <c r="E206" s="34"/>
    </row>
    <row r="207" spans="2:5" x14ac:dyDescent="0.6">
      <c r="B207" s="34"/>
      <c r="C207" s="95"/>
      <c r="D207" s="34"/>
      <c r="E207" s="34"/>
    </row>
    <row r="208" spans="2:5" x14ac:dyDescent="0.6">
      <c r="B208" s="34"/>
      <c r="C208" s="95"/>
      <c r="D208" s="34"/>
      <c r="E208" s="34"/>
    </row>
    <row r="209" spans="2:5" x14ac:dyDescent="0.6">
      <c r="B209" s="34"/>
      <c r="C209" s="95"/>
      <c r="D209" s="34"/>
      <c r="E209" s="34"/>
    </row>
    <row r="210" spans="2:5" x14ac:dyDescent="0.6">
      <c r="B210" s="34"/>
      <c r="C210" s="95"/>
      <c r="D210" s="34"/>
      <c r="E210" s="34"/>
    </row>
    <row r="211" spans="2:5" x14ac:dyDescent="0.6">
      <c r="B211" s="34"/>
      <c r="C211" s="95"/>
      <c r="D211" s="34"/>
      <c r="E211" s="34"/>
    </row>
    <row r="212" spans="2:5" x14ac:dyDescent="0.6">
      <c r="B212" s="34"/>
      <c r="C212" s="95"/>
      <c r="D212" s="34"/>
      <c r="E212" s="34"/>
    </row>
    <row r="213" spans="2:5" x14ac:dyDescent="0.6">
      <c r="B213" s="34"/>
      <c r="C213" s="95"/>
      <c r="D213" s="34"/>
      <c r="E213" s="34"/>
    </row>
    <row r="214" spans="2:5" x14ac:dyDescent="0.6">
      <c r="B214" s="34"/>
      <c r="C214" s="95"/>
      <c r="D214" s="34"/>
      <c r="E214" s="34"/>
    </row>
    <row r="215" spans="2:5" x14ac:dyDescent="0.6">
      <c r="B215" s="34"/>
      <c r="C215" s="95"/>
      <c r="D215" s="34"/>
      <c r="E215" s="34"/>
    </row>
    <row r="216" spans="2:5" x14ac:dyDescent="0.6">
      <c r="B216" s="34"/>
      <c r="C216" s="95"/>
      <c r="D216" s="34"/>
      <c r="E216" s="34"/>
    </row>
    <row r="217" spans="2:5" x14ac:dyDescent="0.6">
      <c r="B217" s="34"/>
      <c r="C217" s="95"/>
      <c r="D217" s="34"/>
      <c r="E217" s="34"/>
    </row>
    <row r="218" spans="2:5" x14ac:dyDescent="0.6">
      <c r="B218" s="34"/>
      <c r="C218" s="95"/>
      <c r="D218" s="34"/>
      <c r="E218" s="34"/>
    </row>
    <row r="219" spans="2:5" x14ac:dyDescent="0.6">
      <c r="B219" s="34"/>
      <c r="C219" s="95"/>
      <c r="D219" s="34"/>
      <c r="E219" s="34"/>
    </row>
    <row r="220" spans="2:5" x14ac:dyDescent="0.6">
      <c r="B220" s="34"/>
      <c r="C220" s="95"/>
      <c r="D220" s="34"/>
      <c r="E220" s="34"/>
    </row>
    <row r="221" spans="2:5" x14ac:dyDescent="0.6">
      <c r="B221" s="34"/>
      <c r="C221" s="95"/>
      <c r="D221" s="34"/>
      <c r="E221" s="34"/>
    </row>
    <row r="222" spans="2:5" x14ac:dyDescent="0.6">
      <c r="B222" s="34"/>
      <c r="C222" s="95"/>
      <c r="D222" s="34"/>
      <c r="E222" s="34"/>
    </row>
    <row r="223" spans="2:5" x14ac:dyDescent="0.6">
      <c r="B223" s="34"/>
      <c r="C223" s="95"/>
      <c r="D223" s="34"/>
      <c r="E223" s="34"/>
    </row>
    <row r="224" spans="2:5" x14ac:dyDescent="0.6">
      <c r="B224" s="34"/>
      <c r="C224" s="95"/>
      <c r="D224" s="34"/>
      <c r="E224" s="34"/>
    </row>
    <row r="225" spans="2:5" x14ac:dyDescent="0.6">
      <c r="B225" s="34"/>
      <c r="C225" s="95"/>
      <c r="D225" s="34"/>
      <c r="E225" s="34"/>
    </row>
    <row r="226" spans="2:5" x14ac:dyDescent="0.6">
      <c r="B226" s="34"/>
      <c r="C226" s="95"/>
      <c r="D226" s="34"/>
      <c r="E226" s="34"/>
    </row>
    <row r="227" spans="2:5" x14ac:dyDescent="0.6">
      <c r="B227" s="34"/>
      <c r="C227" s="95"/>
      <c r="D227" s="34"/>
      <c r="E227" s="34"/>
    </row>
    <row r="228" spans="2:5" x14ac:dyDescent="0.6">
      <c r="B228" s="34"/>
      <c r="C228" s="95"/>
      <c r="D228" s="34"/>
      <c r="E228" s="34"/>
    </row>
    <row r="229" spans="2:5" x14ac:dyDescent="0.6">
      <c r="B229" s="34"/>
      <c r="C229" s="95"/>
      <c r="D229" s="34"/>
      <c r="E229" s="34"/>
    </row>
    <row r="230" spans="2:5" x14ac:dyDescent="0.6">
      <c r="B230" s="34"/>
      <c r="C230" s="95"/>
      <c r="D230" s="34"/>
      <c r="E230" s="34"/>
    </row>
    <row r="231" spans="2:5" x14ac:dyDescent="0.6">
      <c r="B231" s="34"/>
      <c r="C231" s="95"/>
      <c r="D231" s="34"/>
      <c r="E231" s="34"/>
    </row>
    <row r="232" spans="2:5" x14ac:dyDescent="0.6">
      <c r="B232" s="34"/>
      <c r="C232" s="95"/>
      <c r="D232" s="34"/>
      <c r="E232" s="34"/>
    </row>
    <row r="233" spans="2:5" x14ac:dyDescent="0.6">
      <c r="B233" s="34"/>
      <c r="C233" s="95"/>
      <c r="D233" s="34"/>
      <c r="E233" s="34"/>
    </row>
    <row r="234" spans="2:5" x14ac:dyDescent="0.6">
      <c r="B234" s="34"/>
      <c r="C234" s="95"/>
      <c r="D234" s="34"/>
      <c r="E234" s="34"/>
    </row>
    <row r="235" spans="2:5" x14ac:dyDescent="0.6">
      <c r="B235" s="34"/>
      <c r="C235" s="95"/>
      <c r="D235" s="34"/>
      <c r="E235" s="34"/>
    </row>
    <row r="236" spans="2:5" x14ac:dyDescent="0.6">
      <c r="B236" s="34"/>
      <c r="C236" s="95"/>
      <c r="D236" s="34"/>
      <c r="E236" s="34"/>
    </row>
    <row r="237" spans="2:5" x14ac:dyDescent="0.6">
      <c r="B237" s="34"/>
      <c r="C237" s="95"/>
      <c r="D237" s="34"/>
      <c r="E237" s="34"/>
    </row>
    <row r="238" spans="2:5" x14ac:dyDescent="0.6">
      <c r="B238" s="34"/>
      <c r="C238" s="95"/>
      <c r="D238" s="34"/>
      <c r="E238" s="34"/>
    </row>
    <row r="239" spans="2:5" x14ac:dyDescent="0.6">
      <c r="B239" s="34"/>
      <c r="C239" s="95"/>
      <c r="D239" s="34"/>
      <c r="E239" s="34"/>
    </row>
    <row r="240" spans="2:5" x14ac:dyDescent="0.6">
      <c r="B240" s="34"/>
      <c r="C240" s="95"/>
      <c r="D240" s="34"/>
      <c r="E240" s="34"/>
    </row>
    <row r="241" spans="2:5" x14ac:dyDescent="0.6">
      <c r="B241" s="34"/>
      <c r="C241" s="95"/>
      <c r="D241" s="34"/>
      <c r="E241" s="34"/>
    </row>
    <row r="242" spans="2:5" x14ac:dyDescent="0.6">
      <c r="B242" s="34"/>
      <c r="C242" s="95"/>
      <c r="D242" s="34"/>
      <c r="E242" s="34"/>
    </row>
    <row r="243" spans="2:5" x14ac:dyDescent="0.6">
      <c r="B243" s="34"/>
      <c r="C243" s="95"/>
      <c r="D243" s="34"/>
      <c r="E243" s="34"/>
    </row>
    <row r="244" spans="2:5" x14ac:dyDescent="0.6">
      <c r="B244" s="34"/>
      <c r="C244" s="95"/>
      <c r="D244" s="34"/>
      <c r="E244" s="34"/>
    </row>
    <row r="245" spans="2:5" x14ac:dyDescent="0.6">
      <c r="B245" s="34"/>
      <c r="C245" s="95"/>
      <c r="D245" s="34"/>
      <c r="E245" s="34"/>
    </row>
    <row r="246" spans="2:5" x14ac:dyDescent="0.6">
      <c r="B246" s="34"/>
      <c r="C246" s="95"/>
      <c r="D246" s="34"/>
      <c r="E246" s="34"/>
    </row>
    <row r="247" spans="2:5" x14ac:dyDescent="0.6">
      <c r="B247" s="34"/>
      <c r="C247" s="95"/>
      <c r="D247" s="34"/>
      <c r="E247" s="34"/>
    </row>
    <row r="248" spans="2:5" x14ac:dyDescent="0.6">
      <c r="B248" s="34"/>
      <c r="C248" s="95"/>
      <c r="D248" s="34"/>
      <c r="E248" s="34"/>
    </row>
    <row r="249" spans="2:5" x14ac:dyDescent="0.6">
      <c r="B249" s="34"/>
      <c r="C249" s="95"/>
      <c r="D249" s="34"/>
      <c r="E249" s="34"/>
    </row>
    <row r="250" spans="2:5" x14ac:dyDescent="0.6">
      <c r="B250" s="34"/>
      <c r="C250" s="95"/>
      <c r="D250" s="34"/>
      <c r="E250" s="34"/>
    </row>
    <row r="251" spans="2:5" x14ac:dyDescent="0.6">
      <c r="B251" s="34"/>
      <c r="C251" s="95"/>
      <c r="D251" s="34"/>
      <c r="E251" s="34"/>
    </row>
    <row r="252" spans="2:5" x14ac:dyDescent="0.6">
      <c r="B252" s="34"/>
      <c r="C252" s="95"/>
      <c r="D252" s="34"/>
      <c r="E252" s="34"/>
    </row>
    <row r="253" spans="2:5" x14ac:dyDescent="0.6">
      <c r="B253" s="34"/>
      <c r="C253" s="95"/>
      <c r="D253" s="34"/>
      <c r="E253" s="34"/>
    </row>
    <row r="254" spans="2:5" x14ac:dyDescent="0.6">
      <c r="B254" s="34"/>
      <c r="C254" s="95"/>
      <c r="D254" s="34"/>
      <c r="E254" s="34"/>
    </row>
    <row r="255" spans="2:5" x14ac:dyDescent="0.6">
      <c r="B255" s="34"/>
      <c r="C255" s="95"/>
      <c r="D255" s="34"/>
      <c r="E255" s="34"/>
    </row>
    <row r="256" spans="2:5" x14ac:dyDescent="0.6">
      <c r="B256" s="34"/>
      <c r="C256" s="95"/>
      <c r="D256" s="34"/>
      <c r="E256" s="34"/>
    </row>
    <row r="257" spans="2:5" x14ac:dyDescent="0.6">
      <c r="B257" s="34"/>
      <c r="C257" s="95"/>
      <c r="D257" s="34"/>
      <c r="E257" s="34"/>
    </row>
    <row r="258" spans="2:5" x14ac:dyDescent="0.6">
      <c r="B258" s="34"/>
      <c r="C258" s="95"/>
      <c r="D258" s="34"/>
      <c r="E258" s="34"/>
    </row>
    <row r="259" spans="2:5" x14ac:dyDescent="0.6">
      <c r="B259" s="34"/>
      <c r="C259" s="95"/>
      <c r="D259" s="34"/>
      <c r="E259" s="34"/>
    </row>
    <row r="260" spans="2:5" x14ac:dyDescent="0.6">
      <c r="B260" s="34"/>
      <c r="C260" s="95"/>
      <c r="D260" s="34"/>
      <c r="E260" s="34"/>
    </row>
    <row r="261" spans="2:5" x14ac:dyDescent="0.6">
      <c r="B261" s="34"/>
      <c r="C261" s="95"/>
      <c r="D261" s="34"/>
      <c r="E261" s="34"/>
    </row>
    <row r="262" spans="2:5" x14ac:dyDescent="0.6">
      <c r="B262" s="34"/>
      <c r="C262" s="95"/>
      <c r="D262" s="34"/>
      <c r="E262" s="34"/>
    </row>
    <row r="263" spans="2:5" x14ac:dyDescent="0.6">
      <c r="B263" s="34"/>
      <c r="C263" s="95"/>
      <c r="D263" s="34"/>
      <c r="E263" s="34"/>
    </row>
    <row r="264" spans="2:5" x14ac:dyDescent="0.6">
      <c r="B264" s="34"/>
      <c r="C264" s="95"/>
      <c r="D264" s="34"/>
      <c r="E264" s="34"/>
    </row>
    <row r="265" spans="2:5" x14ac:dyDescent="0.6">
      <c r="B265" s="34"/>
      <c r="C265" s="95"/>
      <c r="D265" s="34"/>
      <c r="E265" s="34"/>
    </row>
    <row r="266" spans="2:5" x14ac:dyDescent="0.6">
      <c r="B266" s="34"/>
      <c r="C266" s="95"/>
      <c r="D266" s="34"/>
      <c r="E266" s="34"/>
    </row>
    <row r="267" spans="2:5" x14ac:dyDescent="0.6">
      <c r="B267" s="34"/>
      <c r="C267" s="95"/>
      <c r="D267" s="34"/>
      <c r="E267" s="34"/>
    </row>
    <row r="268" spans="2:5" x14ac:dyDescent="0.6">
      <c r="B268" s="34"/>
      <c r="C268" s="95"/>
      <c r="D268" s="34"/>
      <c r="E268" s="34"/>
    </row>
    <row r="269" spans="2:5" x14ac:dyDescent="0.6">
      <c r="B269" s="34"/>
      <c r="C269" s="95"/>
      <c r="D269" s="34"/>
      <c r="E269" s="34"/>
    </row>
    <row r="270" spans="2:5" x14ac:dyDescent="0.6">
      <c r="B270" s="34"/>
      <c r="C270" s="95"/>
      <c r="D270" s="34"/>
      <c r="E270" s="34"/>
    </row>
    <row r="271" spans="2:5" x14ac:dyDescent="0.6">
      <c r="B271" s="34"/>
      <c r="C271" s="95"/>
      <c r="D271" s="34"/>
      <c r="E271" s="34"/>
    </row>
    <row r="272" spans="2:5" x14ac:dyDescent="0.6">
      <c r="B272" s="34"/>
      <c r="C272" s="95"/>
      <c r="D272" s="34"/>
      <c r="E272" s="34"/>
    </row>
    <row r="273" spans="2:5" x14ac:dyDescent="0.6">
      <c r="B273" s="34"/>
      <c r="C273" s="95"/>
      <c r="D273" s="34"/>
      <c r="E273" s="34"/>
    </row>
    <row r="274" spans="2:5" x14ac:dyDescent="0.6">
      <c r="B274" s="34"/>
      <c r="C274" s="95"/>
      <c r="D274" s="34"/>
      <c r="E274" s="34"/>
    </row>
    <row r="275" spans="2:5" x14ac:dyDescent="0.6">
      <c r="B275" s="34"/>
      <c r="C275" s="95"/>
      <c r="D275" s="34"/>
      <c r="E275" s="34"/>
    </row>
    <row r="276" spans="2:5" x14ac:dyDescent="0.6">
      <c r="B276" s="34"/>
      <c r="C276" s="95"/>
      <c r="D276" s="34"/>
      <c r="E276" s="34"/>
    </row>
    <row r="277" spans="2:5" x14ac:dyDescent="0.6">
      <c r="B277" s="34"/>
      <c r="C277" s="95"/>
      <c r="D277" s="34"/>
      <c r="E277" s="34"/>
    </row>
    <row r="278" spans="2:5" x14ac:dyDescent="0.6">
      <c r="B278" s="34"/>
      <c r="C278" s="95"/>
      <c r="D278" s="34"/>
      <c r="E278" s="34"/>
    </row>
    <row r="279" spans="2:5" x14ac:dyDescent="0.6">
      <c r="B279" s="34"/>
      <c r="C279" s="95"/>
      <c r="D279" s="34"/>
      <c r="E279" s="34"/>
    </row>
    <row r="280" spans="2:5" x14ac:dyDescent="0.6">
      <c r="B280" s="34"/>
      <c r="C280" s="95"/>
      <c r="D280" s="34"/>
      <c r="E280" s="34"/>
    </row>
    <row r="281" spans="2:5" x14ac:dyDescent="0.6">
      <c r="B281" s="34"/>
      <c r="C281" s="95"/>
      <c r="D281" s="34"/>
      <c r="E281" s="34"/>
    </row>
    <row r="282" spans="2:5" x14ac:dyDescent="0.6">
      <c r="B282" s="34"/>
      <c r="C282" s="95"/>
      <c r="D282" s="34"/>
      <c r="E282" s="34"/>
    </row>
    <row r="283" spans="2:5" x14ac:dyDescent="0.6">
      <c r="B283" s="34"/>
      <c r="C283" s="95"/>
      <c r="D283" s="34"/>
      <c r="E283" s="34"/>
    </row>
    <row r="284" spans="2:5" x14ac:dyDescent="0.6">
      <c r="B284" s="34"/>
      <c r="C284" s="95"/>
      <c r="D284" s="34"/>
      <c r="E284" s="34"/>
    </row>
    <row r="285" spans="2:5" x14ac:dyDescent="0.6">
      <c r="B285" s="34"/>
      <c r="C285" s="95"/>
      <c r="D285" s="34"/>
      <c r="E285" s="34"/>
    </row>
    <row r="286" spans="2:5" x14ac:dyDescent="0.6">
      <c r="B286" s="34"/>
      <c r="C286" s="95"/>
      <c r="D286" s="34"/>
      <c r="E286" s="34"/>
    </row>
    <row r="287" spans="2:5" x14ac:dyDescent="0.6">
      <c r="B287" s="34"/>
      <c r="C287" s="95"/>
      <c r="D287" s="34"/>
      <c r="E287" s="34"/>
    </row>
    <row r="288" spans="2:5" x14ac:dyDescent="0.6">
      <c r="B288" s="34"/>
      <c r="C288" s="95"/>
      <c r="D288" s="34"/>
      <c r="E288" s="34"/>
    </row>
    <row r="289" spans="2:5" x14ac:dyDescent="0.6">
      <c r="B289" s="34"/>
      <c r="C289" s="95"/>
      <c r="D289" s="34"/>
      <c r="E289" s="34"/>
    </row>
    <row r="290" spans="2:5" x14ac:dyDescent="0.6">
      <c r="B290" s="34"/>
      <c r="C290" s="95"/>
      <c r="D290" s="34"/>
      <c r="E290" s="34"/>
    </row>
    <row r="291" spans="2:5" x14ac:dyDescent="0.6">
      <c r="B291" s="34"/>
      <c r="C291" s="95"/>
      <c r="D291" s="34"/>
      <c r="E291" s="34"/>
    </row>
    <row r="292" spans="2:5" x14ac:dyDescent="0.6">
      <c r="B292" s="34"/>
      <c r="C292" s="95"/>
      <c r="D292" s="34"/>
      <c r="E292" s="34"/>
    </row>
    <row r="293" spans="2:5" x14ac:dyDescent="0.6">
      <c r="B293" s="34"/>
      <c r="C293" s="95"/>
      <c r="D293" s="34"/>
      <c r="E293" s="34"/>
    </row>
    <row r="294" spans="2:5" x14ac:dyDescent="0.6">
      <c r="B294" s="34"/>
      <c r="C294" s="95"/>
      <c r="D294" s="34"/>
      <c r="E294" s="34"/>
    </row>
    <row r="295" spans="2:5" x14ac:dyDescent="0.6">
      <c r="B295" s="34"/>
      <c r="C295" s="95"/>
      <c r="D295" s="34"/>
      <c r="E295" s="34"/>
    </row>
    <row r="296" spans="2:5" x14ac:dyDescent="0.6">
      <c r="B296" s="34"/>
      <c r="C296" s="95"/>
      <c r="D296" s="34"/>
      <c r="E296" s="34"/>
    </row>
    <row r="297" spans="2:5" x14ac:dyDescent="0.6">
      <c r="B297" s="34"/>
      <c r="C297" s="95"/>
      <c r="D297" s="34"/>
      <c r="E297" s="34"/>
    </row>
    <row r="298" spans="2:5" x14ac:dyDescent="0.6">
      <c r="B298" s="34"/>
      <c r="C298" s="95"/>
      <c r="D298" s="34"/>
      <c r="E298" s="34"/>
    </row>
    <row r="299" spans="2:5" x14ac:dyDescent="0.6">
      <c r="B299" s="34"/>
      <c r="C299" s="95"/>
      <c r="D299" s="34"/>
      <c r="E299" s="34"/>
    </row>
    <row r="300" spans="2:5" x14ac:dyDescent="0.6">
      <c r="B300" s="34"/>
      <c r="C300" s="95"/>
      <c r="D300" s="34"/>
      <c r="E300" s="34"/>
    </row>
    <row r="301" spans="2:5" x14ac:dyDescent="0.6">
      <c r="B301" s="34"/>
      <c r="C301" s="95"/>
      <c r="D301" s="34"/>
      <c r="E301" s="34"/>
    </row>
    <row r="302" spans="2:5" x14ac:dyDescent="0.6">
      <c r="B302" s="34"/>
      <c r="C302" s="95"/>
      <c r="D302" s="34"/>
      <c r="E302" s="34"/>
    </row>
    <row r="303" spans="2:5" x14ac:dyDescent="0.6">
      <c r="B303" s="34"/>
      <c r="C303" s="95"/>
      <c r="D303" s="34"/>
      <c r="E303" s="34"/>
    </row>
    <row r="304" spans="2:5" x14ac:dyDescent="0.6">
      <c r="B304" s="34"/>
      <c r="C304" s="95"/>
      <c r="D304" s="34"/>
      <c r="E304" s="34"/>
    </row>
    <row r="305" spans="2:5" x14ac:dyDescent="0.6">
      <c r="B305" s="34"/>
      <c r="C305" s="95"/>
      <c r="D305" s="34"/>
      <c r="E305" s="34"/>
    </row>
    <row r="306" spans="2:5" x14ac:dyDescent="0.6">
      <c r="B306" s="34"/>
      <c r="C306" s="95"/>
      <c r="D306" s="34"/>
      <c r="E306" s="34"/>
    </row>
    <row r="307" spans="2:5" x14ac:dyDescent="0.6">
      <c r="B307" s="34"/>
      <c r="C307" s="95"/>
      <c r="D307" s="34"/>
      <c r="E307" s="34"/>
    </row>
    <row r="308" spans="2:5" x14ac:dyDescent="0.6">
      <c r="B308" s="34"/>
      <c r="C308" s="95"/>
      <c r="D308" s="34"/>
      <c r="E308" s="34"/>
    </row>
    <row r="309" spans="2:5" x14ac:dyDescent="0.6">
      <c r="B309" s="34"/>
      <c r="C309" s="95"/>
      <c r="D309" s="34"/>
      <c r="E309" s="34"/>
    </row>
    <row r="310" spans="2:5" x14ac:dyDescent="0.6">
      <c r="B310" s="34"/>
      <c r="C310" s="95"/>
      <c r="D310" s="34"/>
      <c r="E310" s="34"/>
    </row>
    <row r="311" spans="2:5" x14ac:dyDescent="0.6">
      <c r="B311" s="34"/>
      <c r="C311" s="95"/>
      <c r="D311" s="34"/>
      <c r="E311" s="34"/>
    </row>
    <row r="312" spans="2:5" x14ac:dyDescent="0.6">
      <c r="B312" s="34"/>
      <c r="C312" s="95"/>
      <c r="D312" s="34"/>
      <c r="E312" s="34"/>
    </row>
    <row r="313" spans="2:5" x14ac:dyDescent="0.6">
      <c r="B313" s="34"/>
      <c r="C313" s="95"/>
      <c r="D313" s="34"/>
      <c r="E313" s="34"/>
    </row>
    <row r="314" spans="2:5" x14ac:dyDescent="0.6">
      <c r="B314" s="34"/>
      <c r="C314" s="95"/>
      <c r="D314" s="34"/>
      <c r="E314" s="34"/>
    </row>
    <row r="315" spans="2:5" x14ac:dyDescent="0.6">
      <c r="B315" s="34"/>
      <c r="C315" s="95"/>
      <c r="D315" s="34"/>
      <c r="E315" s="34"/>
    </row>
    <row r="316" spans="2:5" x14ac:dyDescent="0.6">
      <c r="B316" s="34"/>
      <c r="C316" s="95"/>
      <c r="D316" s="34"/>
      <c r="E316" s="34"/>
    </row>
    <row r="317" spans="2:5" x14ac:dyDescent="0.6">
      <c r="B317" s="34"/>
      <c r="C317" s="95"/>
      <c r="D317" s="34"/>
      <c r="E317" s="34"/>
    </row>
    <row r="318" spans="2:5" x14ac:dyDescent="0.6">
      <c r="B318" s="34"/>
      <c r="C318" s="95"/>
      <c r="D318" s="34"/>
      <c r="E318" s="34"/>
    </row>
    <row r="319" spans="2:5" x14ac:dyDescent="0.6">
      <c r="B319" s="34"/>
      <c r="C319" s="95"/>
      <c r="D319" s="34"/>
      <c r="E319" s="34"/>
    </row>
    <row r="320" spans="2:5" x14ac:dyDescent="0.6">
      <c r="B320" s="34"/>
      <c r="C320" s="95"/>
      <c r="D320" s="34"/>
      <c r="E320" s="34"/>
    </row>
    <row r="321" spans="2:5" x14ac:dyDescent="0.6">
      <c r="B321" s="34"/>
      <c r="C321" s="95"/>
      <c r="D321" s="34"/>
      <c r="E321" s="34"/>
    </row>
    <row r="322" spans="2:5" x14ac:dyDescent="0.6">
      <c r="B322" s="34"/>
      <c r="C322" s="95"/>
      <c r="D322" s="34"/>
      <c r="E322" s="34"/>
    </row>
    <row r="323" spans="2:5" x14ac:dyDescent="0.6">
      <c r="B323" s="34"/>
      <c r="C323" s="95"/>
      <c r="D323" s="34"/>
      <c r="E323" s="34"/>
    </row>
    <row r="324" spans="2:5" x14ac:dyDescent="0.6">
      <c r="B324" s="34"/>
      <c r="C324" s="95"/>
      <c r="D324" s="34"/>
      <c r="E324" s="34"/>
    </row>
    <row r="325" spans="2:5" x14ac:dyDescent="0.6">
      <c r="B325" s="34"/>
      <c r="C325" s="95"/>
      <c r="D325" s="34"/>
      <c r="E325" s="34"/>
    </row>
    <row r="326" spans="2:5" x14ac:dyDescent="0.6">
      <c r="B326" s="34"/>
      <c r="C326" s="95"/>
      <c r="D326" s="34"/>
      <c r="E326" s="34"/>
    </row>
    <row r="327" spans="2:5" x14ac:dyDescent="0.6">
      <c r="B327" s="34"/>
      <c r="C327" s="95"/>
      <c r="D327" s="34"/>
      <c r="E327" s="34"/>
    </row>
    <row r="328" spans="2:5" x14ac:dyDescent="0.6">
      <c r="B328" s="34"/>
      <c r="C328" s="95"/>
      <c r="D328" s="34"/>
      <c r="E328" s="34"/>
    </row>
    <row r="329" spans="2:5" x14ac:dyDescent="0.6">
      <c r="B329" s="34"/>
      <c r="C329" s="95"/>
      <c r="D329" s="34"/>
      <c r="E329" s="34"/>
    </row>
    <row r="330" spans="2:5" x14ac:dyDescent="0.6">
      <c r="B330" s="34"/>
      <c r="C330" s="95"/>
      <c r="D330" s="34"/>
      <c r="E330" s="34"/>
    </row>
    <row r="331" spans="2:5" x14ac:dyDescent="0.6">
      <c r="B331" s="34"/>
      <c r="C331" s="95"/>
      <c r="D331" s="34"/>
      <c r="E331" s="34"/>
    </row>
    <row r="332" spans="2:5" x14ac:dyDescent="0.6">
      <c r="B332" s="34"/>
      <c r="C332" s="95"/>
      <c r="D332" s="34"/>
      <c r="E332" s="34"/>
    </row>
    <row r="333" spans="2:5" x14ac:dyDescent="0.6">
      <c r="B333" s="34"/>
      <c r="C333" s="95"/>
      <c r="D333" s="34"/>
      <c r="E333" s="34"/>
    </row>
    <row r="334" spans="2:5" x14ac:dyDescent="0.6">
      <c r="B334" s="34"/>
      <c r="C334" s="95"/>
      <c r="D334" s="34"/>
      <c r="E334" s="34"/>
    </row>
    <row r="335" spans="2:5" x14ac:dyDescent="0.6">
      <c r="B335" s="34"/>
      <c r="C335" s="95"/>
      <c r="D335" s="34"/>
      <c r="E335" s="34"/>
    </row>
    <row r="336" spans="2:5" x14ac:dyDescent="0.6">
      <c r="B336" s="34"/>
      <c r="C336" s="95"/>
      <c r="D336" s="34"/>
      <c r="E336" s="34"/>
    </row>
    <row r="337" spans="2:5" x14ac:dyDescent="0.6">
      <c r="B337" s="34"/>
      <c r="C337" s="95"/>
      <c r="D337" s="34"/>
      <c r="E337" s="34"/>
    </row>
    <row r="338" spans="2:5" x14ac:dyDescent="0.6">
      <c r="B338" s="34"/>
      <c r="C338" s="95"/>
      <c r="D338" s="34"/>
      <c r="E338" s="34"/>
    </row>
    <row r="339" spans="2:5" x14ac:dyDescent="0.6">
      <c r="B339" s="34"/>
      <c r="C339" s="95"/>
      <c r="D339" s="34"/>
      <c r="E339" s="34"/>
    </row>
    <row r="340" spans="2:5" x14ac:dyDescent="0.6">
      <c r="B340" s="34"/>
      <c r="C340" s="95"/>
      <c r="D340" s="34"/>
      <c r="E340" s="34"/>
    </row>
    <row r="341" spans="2:5" x14ac:dyDescent="0.6">
      <c r="B341" s="34"/>
      <c r="C341" s="95"/>
      <c r="D341" s="34"/>
      <c r="E341" s="34"/>
    </row>
    <row r="342" spans="2:5" x14ac:dyDescent="0.6">
      <c r="B342" s="34"/>
      <c r="C342" s="95"/>
      <c r="D342" s="34"/>
      <c r="E342" s="34"/>
    </row>
    <row r="343" spans="2:5" x14ac:dyDescent="0.6">
      <c r="B343" s="34"/>
      <c r="C343" s="95"/>
      <c r="D343" s="34"/>
      <c r="E343" s="34"/>
    </row>
    <row r="344" spans="2:5" x14ac:dyDescent="0.6">
      <c r="B344" s="34"/>
      <c r="C344" s="95"/>
      <c r="D344" s="34"/>
      <c r="E344" s="34"/>
    </row>
    <row r="345" spans="2:5" x14ac:dyDescent="0.6">
      <c r="B345" s="34"/>
      <c r="C345" s="95"/>
      <c r="D345" s="34"/>
      <c r="E345" s="34"/>
    </row>
    <row r="346" spans="2:5" x14ac:dyDescent="0.6">
      <c r="B346" s="34"/>
      <c r="C346" s="95"/>
      <c r="D346" s="34"/>
      <c r="E346" s="34"/>
    </row>
    <row r="347" spans="2:5" x14ac:dyDescent="0.6">
      <c r="B347" s="34"/>
      <c r="C347" s="95"/>
      <c r="D347" s="34"/>
      <c r="E347" s="34"/>
    </row>
    <row r="348" spans="2:5" x14ac:dyDescent="0.6">
      <c r="B348" s="34"/>
      <c r="C348" s="95"/>
      <c r="D348" s="34"/>
      <c r="E348" s="34"/>
    </row>
    <row r="349" spans="2:5" x14ac:dyDescent="0.6">
      <c r="B349" s="34"/>
      <c r="C349" s="95"/>
      <c r="D349" s="34"/>
      <c r="E349" s="34"/>
    </row>
    <row r="350" spans="2:5" x14ac:dyDescent="0.6">
      <c r="B350" s="34"/>
      <c r="C350" s="95"/>
      <c r="D350" s="34"/>
      <c r="E350" s="34"/>
    </row>
    <row r="351" spans="2:5" x14ac:dyDescent="0.6">
      <c r="B351" s="34"/>
      <c r="C351" s="95"/>
      <c r="D351" s="34"/>
      <c r="E351" s="34"/>
    </row>
    <row r="352" spans="2:5" x14ac:dyDescent="0.6">
      <c r="B352" s="34"/>
      <c r="C352" s="95"/>
      <c r="D352" s="34"/>
      <c r="E352" s="34"/>
    </row>
    <row r="353" spans="2:5" x14ac:dyDescent="0.6">
      <c r="B353" s="34"/>
      <c r="C353" s="95"/>
      <c r="D353" s="34"/>
      <c r="E353" s="34"/>
    </row>
    <row r="354" spans="2:5" x14ac:dyDescent="0.6">
      <c r="B354" s="34"/>
      <c r="C354" s="95"/>
      <c r="D354" s="34"/>
      <c r="E354" s="34"/>
    </row>
    <row r="355" spans="2:5" x14ac:dyDescent="0.6">
      <c r="B355" s="34"/>
      <c r="C355" s="95"/>
      <c r="D355" s="34"/>
      <c r="E355" s="34"/>
    </row>
    <row r="356" spans="2:5" x14ac:dyDescent="0.6">
      <c r="B356" s="34"/>
      <c r="C356" s="95"/>
      <c r="D356" s="34"/>
      <c r="E356" s="34"/>
    </row>
    <row r="357" spans="2:5" x14ac:dyDescent="0.6">
      <c r="B357" s="34"/>
      <c r="C357" s="95"/>
      <c r="D357" s="34"/>
      <c r="E357" s="34"/>
    </row>
    <row r="358" spans="2:5" x14ac:dyDescent="0.6">
      <c r="B358" s="34"/>
      <c r="C358" s="95"/>
      <c r="D358" s="34"/>
      <c r="E358" s="34"/>
    </row>
    <row r="359" spans="2:5" x14ac:dyDescent="0.6">
      <c r="B359" s="34"/>
      <c r="C359" s="95"/>
      <c r="D359" s="34"/>
      <c r="E359" s="34"/>
    </row>
    <row r="360" spans="2:5" x14ac:dyDescent="0.6">
      <c r="B360" s="34"/>
      <c r="C360" s="95"/>
      <c r="D360" s="34"/>
      <c r="E360" s="34"/>
    </row>
    <row r="361" spans="2:5" x14ac:dyDescent="0.6">
      <c r="B361" s="34"/>
      <c r="C361" s="95"/>
      <c r="D361" s="34"/>
      <c r="E361" s="34"/>
    </row>
    <row r="362" spans="2:5" x14ac:dyDescent="0.6">
      <c r="B362" s="34"/>
      <c r="C362" s="95"/>
      <c r="D362" s="34"/>
      <c r="E362" s="34"/>
    </row>
    <row r="363" spans="2:5" x14ac:dyDescent="0.6">
      <c r="B363" s="34"/>
      <c r="C363" s="95"/>
      <c r="D363" s="34"/>
      <c r="E363" s="34"/>
    </row>
    <row r="364" spans="2:5" x14ac:dyDescent="0.6">
      <c r="B364" s="34"/>
      <c r="C364" s="95"/>
      <c r="D364" s="34"/>
      <c r="E364" s="34"/>
    </row>
    <row r="365" spans="2:5" x14ac:dyDescent="0.6">
      <c r="B365" s="34"/>
      <c r="C365" s="95"/>
      <c r="D365" s="34"/>
      <c r="E365" s="34"/>
    </row>
    <row r="366" spans="2:5" x14ac:dyDescent="0.6">
      <c r="B366" s="34"/>
      <c r="C366" s="95"/>
      <c r="D366" s="34"/>
      <c r="E366" s="34"/>
    </row>
    <row r="367" spans="2:5" x14ac:dyDescent="0.6">
      <c r="B367" s="34"/>
      <c r="C367" s="95"/>
      <c r="D367" s="34"/>
      <c r="E367" s="34"/>
    </row>
    <row r="368" spans="2:5" x14ac:dyDescent="0.6">
      <c r="B368" s="34"/>
      <c r="C368" s="95"/>
      <c r="D368" s="34"/>
      <c r="E368" s="34"/>
    </row>
    <row r="369" spans="2:5" x14ac:dyDescent="0.6">
      <c r="B369" s="34"/>
      <c r="C369" s="95"/>
      <c r="D369" s="34"/>
      <c r="E369" s="34"/>
    </row>
    <row r="370" spans="2:5" x14ac:dyDescent="0.6">
      <c r="B370" s="34"/>
      <c r="C370" s="95"/>
      <c r="D370" s="34"/>
      <c r="E370" s="34"/>
    </row>
    <row r="371" spans="2:5" x14ac:dyDescent="0.6">
      <c r="B371" s="34"/>
      <c r="C371" s="95"/>
      <c r="D371" s="34"/>
      <c r="E371" s="34"/>
    </row>
    <row r="372" spans="2:5" x14ac:dyDescent="0.6">
      <c r="B372" s="34"/>
      <c r="C372" s="95"/>
      <c r="D372" s="34"/>
      <c r="E372" s="34"/>
    </row>
    <row r="373" spans="2:5" x14ac:dyDescent="0.6">
      <c r="B373" s="34"/>
      <c r="C373" s="95"/>
      <c r="D373" s="34"/>
      <c r="E373" s="34"/>
    </row>
    <row r="374" spans="2:5" x14ac:dyDescent="0.6">
      <c r="B374" s="34"/>
      <c r="C374" s="95"/>
      <c r="D374" s="34"/>
      <c r="E374" s="34"/>
    </row>
    <row r="375" spans="2:5" x14ac:dyDescent="0.6">
      <c r="B375" s="34"/>
      <c r="C375" s="95"/>
      <c r="D375" s="34"/>
      <c r="E375" s="34"/>
    </row>
    <row r="376" spans="2:5" x14ac:dyDescent="0.6">
      <c r="B376" s="34"/>
      <c r="C376" s="95"/>
      <c r="D376" s="34"/>
      <c r="E376" s="34"/>
    </row>
    <row r="377" spans="2:5" x14ac:dyDescent="0.6">
      <c r="B377" s="34"/>
      <c r="C377" s="95"/>
      <c r="D377" s="34"/>
      <c r="E377" s="34"/>
    </row>
    <row r="378" spans="2:5" x14ac:dyDescent="0.6">
      <c r="B378" s="34"/>
      <c r="C378" s="95"/>
      <c r="D378" s="34"/>
      <c r="E378" s="34"/>
    </row>
    <row r="379" spans="2:5" x14ac:dyDescent="0.6">
      <c r="B379" s="34"/>
      <c r="C379" s="95"/>
      <c r="D379" s="34"/>
      <c r="E379" s="34"/>
    </row>
    <row r="380" spans="2:5" x14ac:dyDescent="0.6">
      <c r="B380" s="34"/>
      <c r="C380" s="95"/>
      <c r="D380" s="34"/>
      <c r="E380" s="34"/>
    </row>
    <row r="381" spans="2:5" x14ac:dyDescent="0.6">
      <c r="B381" s="34"/>
      <c r="C381" s="95"/>
      <c r="D381" s="34"/>
      <c r="E381" s="34"/>
    </row>
    <row r="382" spans="2:5" x14ac:dyDescent="0.6">
      <c r="B382" s="34"/>
      <c r="C382" s="95"/>
      <c r="D382" s="34"/>
      <c r="E382" s="34"/>
    </row>
    <row r="383" spans="2:5" x14ac:dyDescent="0.6">
      <c r="B383" s="34"/>
      <c r="C383" s="95"/>
      <c r="D383" s="34"/>
      <c r="E383" s="34"/>
    </row>
    <row r="384" spans="2:5" x14ac:dyDescent="0.6">
      <c r="B384" s="34"/>
      <c r="C384" s="95"/>
      <c r="D384" s="34"/>
      <c r="E384" s="34"/>
    </row>
    <row r="385" spans="2:5" x14ac:dyDescent="0.6">
      <c r="B385" s="34"/>
      <c r="C385" s="95"/>
      <c r="D385" s="34"/>
      <c r="E385" s="34"/>
    </row>
    <row r="386" spans="2:5" x14ac:dyDescent="0.6">
      <c r="B386" s="34"/>
      <c r="C386" s="95"/>
      <c r="D386" s="34"/>
      <c r="E386" s="34"/>
    </row>
    <row r="387" spans="2:5" x14ac:dyDescent="0.6">
      <c r="B387" s="34"/>
      <c r="C387" s="95"/>
      <c r="D387" s="34"/>
      <c r="E387" s="34"/>
    </row>
    <row r="388" spans="2:5" x14ac:dyDescent="0.6">
      <c r="B388" s="34"/>
      <c r="C388" s="95"/>
      <c r="D388" s="34"/>
      <c r="E388" s="34"/>
    </row>
    <row r="389" spans="2:5" x14ac:dyDescent="0.6">
      <c r="B389" s="34"/>
      <c r="C389" s="95"/>
      <c r="D389" s="34"/>
      <c r="E389" s="34"/>
    </row>
    <row r="390" spans="2:5" x14ac:dyDescent="0.6">
      <c r="B390" s="34"/>
      <c r="C390" s="95"/>
      <c r="D390" s="34"/>
      <c r="E390" s="34"/>
    </row>
    <row r="391" spans="2:5" x14ac:dyDescent="0.6">
      <c r="B391" s="34"/>
      <c r="C391" s="95"/>
      <c r="D391" s="34"/>
      <c r="E391" s="34"/>
    </row>
    <row r="392" spans="2:5" x14ac:dyDescent="0.6">
      <c r="B392" s="34"/>
      <c r="C392" s="95"/>
      <c r="D392" s="34"/>
      <c r="E392" s="34"/>
    </row>
    <row r="393" spans="2:5" x14ac:dyDescent="0.6">
      <c r="B393" s="34"/>
      <c r="C393" s="95"/>
      <c r="D393" s="34"/>
      <c r="E393" s="34"/>
    </row>
    <row r="394" spans="2:5" x14ac:dyDescent="0.6">
      <c r="B394" s="34"/>
      <c r="C394" s="95"/>
      <c r="D394" s="34"/>
      <c r="E394" s="34"/>
    </row>
    <row r="395" spans="2:5" x14ac:dyDescent="0.6">
      <c r="B395" s="34"/>
      <c r="C395" s="95"/>
      <c r="D395" s="34"/>
      <c r="E395" s="34"/>
    </row>
    <row r="396" spans="2:5" x14ac:dyDescent="0.6">
      <c r="B396" s="34"/>
      <c r="C396" s="95"/>
      <c r="D396" s="34"/>
      <c r="E396" s="34"/>
    </row>
    <row r="397" spans="2:5" x14ac:dyDescent="0.6">
      <c r="B397" s="34"/>
      <c r="C397" s="95"/>
      <c r="D397" s="34"/>
      <c r="E397" s="34"/>
    </row>
    <row r="398" spans="2:5" x14ac:dyDescent="0.6">
      <c r="B398" s="34"/>
      <c r="C398" s="95"/>
      <c r="D398" s="34"/>
      <c r="E398" s="34"/>
    </row>
    <row r="399" spans="2:5" x14ac:dyDescent="0.6">
      <c r="B399" s="34"/>
      <c r="C399" s="95"/>
      <c r="D399" s="34"/>
      <c r="E399" s="34"/>
    </row>
    <row r="400" spans="2:5" x14ac:dyDescent="0.6">
      <c r="B400" s="34"/>
      <c r="C400" s="95"/>
      <c r="D400" s="34"/>
      <c r="E400" s="34"/>
    </row>
    <row r="401" spans="2:5" x14ac:dyDescent="0.6">
      <c r="B401" s="34"/>
      <c r="C401" s="95"/>
      <c r="D401" s="34"/>
      <c r="E401" s="34"/>
    </row>
    <row r="402" spans="2:5" x14ac:dyDescent="0.6">
      <c r="B402" s="34"/>
      <c r="C402" s="95"/>
      <c r="D402" s="34"/>
      <c r="E402" s="34"/>
    </row>
    <row r="403" spans="2:5" x14ac:dyDescent="0.6">
      <c r="B403" s="34"/>
      <c r="C403" s="95"/>
      <c r="D403" s="34"/>
      <c r="E403" s="34"/>
    </row>
    <row r="404" spans="2:5" x14ac:dyDescent="0.6">
      <c r="B404" s="34"/>
      <c r="C404" s="95"/>
      <c r="D404" s="34"/>
      <c r="E404" s="34"/>
    </row>
    <row r="405" spans="2:5" x14ac:dyDescent="0.6">
      <c r="B405" s="34"/>
      <c r="C405" s="95"/>
      <c r="D405" s="34"/>
      <c r="E405" s="34"/>
    </row>
    <row r="406" spans="2:5" x14ac:dyDescent="0.6">
      <c r="B406" s="34"/>
      <c r="C406" s="95"/>
      <c r="D406" s="34"/>
      <c r="E406" s="34"/>
    </row>
    <row r="407" spans="2:5" x14ac:dyDescent="0.6">
      <c r="B407" s="34"/>
      <c r="C407" s="95"/>
      <c r="D407" s="34"/>
      <c r="E407" s="34"/>
    </row>
    <row r="408" spans="2:5" x14ac:dyDescent="0.6">
      <c r="B408" s="34"/>
      <c r="C408" s="95"/>
      <c r="D408" s="34"/>
      <c r="E408" s="34"/>
    </row>
    <row r="409" spans="2:5" x14ac:dyDescent="0.6">
      <c r="B409" s="34"/>
      <c r="C409" s="95"/>
      <c r="D409" s="34"/>
      <c r="E409" s="34"/>
    </row>
    <row r="410" spans="2:5" x14ac:dyDescent="0.6">
      <c r="B410" s="34"/>
      <c r="C410" s="95"/>
      <c r="D410" s="34"/>
      <c r="E410" s="34"/>
    </row>
    <row r="411" spans="2:5" x14ac:dyDescent="0.6">
      <c r="B411" s="34"/>
      <c r="C411" s="95"/>
      <c r="D411" s="34"/>
      <c r="E411" s="34"/>
    </row>
    <row r="412" spans="2:5" x14ac:dyDescent="0.6">
      <c r="B412" s="34"/>
      <c r="C412" s="95"/>
      <c r="D412" s="34"/>
      <c r="E412" s="34"/>
    </row>
    <row r="413" spans="2:5" x14ac:dyDescent="0.6">
      <c r="B413" s="34"/>
      <c r="C413" s="95"/>
      <c r="D413" s="34"/>
      <c r="E413" s="34"/>
    </row>
    <row r="414" spans="2:5" x14ac:dyDescent="0.6">
      <c r="B414" s="34"/>
      <c r="C414" s="95"/>
      <c r="D414" s="34"/>
      <c r="E414" s="34"/>
    </row>
    <row r="415" spans="2:5" x14ac:dyDescent="0.6">
      <c r="B415" s="34"/>
      <c r="C415" s="95"/>
      <c r="D415" s="34"/>
      <c r="E415" s="34"/>
    </row>
    <row r="416" spans="2:5" x14ac:dyDescent="0.6">
      <c r="B416" s="34"/>
      <c r="C416" s="95"/>
      <c r="D416" s="34"/>
      <c r="E416" s="34"/>
    </row>
    <row r="417" spans="2:5" x14ac:dyDescent="0.6">
      <c r="B417" s="34"/>
      <c r="C417" s="95"/>
      <c r="D417" s="34"/>
      <c r="E417" s="34"/>
    </row>
    <row r="418" spans="2:5" x14ac:dyDescent="0.6">
      <c r="B418" s="34"/>
      <c r="C418" s="95"/>
      <c r="D418" s="34"/>
      <c r="E418" s="34"/>
    </row>
    <row r="419" spans="2:5" x14ac:dyDescent="0.6">
      <c r="B419" s="34"/>
      <c r="C419" s="95"/>
      <c r="D419" s="34"/>
      <c r="E419" s="34"/>
    </row>
    <row r="420" spans="2:5" x14ac:dyDescent="0.6">
      <c r="B420" s="34"/>
      <c r="C420" s="95"/>
      <c r="D420" s="34"/>
      <c r="E420" s="34"/>
    </row>
    <row r="421" spans="2:5" x14ac:dyDescent="0.6">
      <c r="B421" s="34"/>
      <c r="C421" s="95"/>
      <c r="D421" s="34"/>
      <c r="E421" s="34"/>
    </row>
    <row r="422" spans="2:5" x14ac:dyDescent="0.6">
      <c r="B422" s="34"/>
      <c r="C422" s="95"/>
      <c r="D422" s="34"/>
      <c r="E422" s="34"/>
    </row>
    <row r="423" spans="2:5" x14ac:dyDescent="0.6">
      <c r="B423" s="34"/>
      <c r="C423" s="95"/>
      <c r="D423" s="34"/>
      <c r="E423" s="34"/>
    </row>
    <row r="424" spans="2:5" x14ac:dyDescent="0.6">
      <c r="B424" s="34"/>
      <c r="C424" s="95"/>
      <c r="D424" s="34"/>
      <c r="E424" s="34"/>
    </row>
    <row r="425" spans="2:5" x14ac:dyDescent="0.6">
      <c r="B425" s="34"/>
      <c r="C425" s="95"/>
      <c r="D425" s="34"/>
      <c r="E425" s="34"/>
    </row>
    <row r="426" spans="2:5" x14ac:dyDescent="0.6">
      <c r="B426" s="34"/>
      <c r="C426" s="95"/>
      <c r="D426" s="34"/>
      <c r="E426" s="34"/>
    </row>
    <row r="427" spans="2:5" x14ac:dyDescent="0.6">
      <c r="B427" s="34"/>
      <c r="C427" s="95"/>
      <c r="D427" s="34"/>
      <c r="E427" s="34"/>
    </row>
    <row r="428" spans="2:5" x14ac:dyDescent="0.6">
      <c r="B428" s="34"/>
      <c r="C428" s="95"/>
      <c r="D428" s="34"/>
      <c r="E428" s="34"/>
    </row>
    <row r="429" spans="2:5" x14ac:dyDescent="0.6">
      <c r="B429" s="34"/>
      <c r="C429" s="95"/>
      <c r="D429" s="34"/>
      <c r="E429" s="34"/>
    </row>
    <row r="430" spans="2:5" x14ac:dyDescent="0.6">
      <c r="B430" s="34"/>
      <c r="C430" s="95"/>
      <c r="D430" s="34"/>
      <c r="E430" s="34"/>
    </row>
    <row r="431" spans="2:5" x14ac:dyDescent="0.6">
      <c r="B431" s="34"/>
      <c r="C431" s="95"/>
      <c r="D431" s="34"/>
      <c r="E431" s="34"/>
    </row>
    <row r="432" spans="2:5" x14ac:dyDescent="0.6">
      <c r="B432" s="34"/>
      <c r="C432" s="95"/>
      <c r="D432" s="34"/>
      <c r="E432" s="34"/>
    </row>
    <row r="433" spans="2:5" x14ac:dyDescent="0.6">
      <c r="B433" s="34"/>
      <c r="C433" s="95"/>
      <c r="D433" s="34"/>
      <c r="E433" s="34"/>
    </row>
    <row r="434" spans="2:5" x14ac:dyDescent="0.6">
      <c r="B434" s="34"/>
      <c r="C434" s="95"/>
      <c r="D434" s="34"/>
      <c r="E434" s="34"/>
    </row>
    <row r="435" spans="2:5" x14ac:dyDescent="0.6">
      <c r="B435" s="34"/>
      <c r="C435" s="95"/>
      <c r="D435" s="34"/>
      <c r="E435" s="34"/>
    </row>
    <row r="436" spans="2:5" x14ac:dyDescent="0.6">
      <c r="B436" s="34"/>
      <c r="C436" s="95"/>
      <c r="D436" s="34"/>
      <c r="E436" s="34"/>
    </row>
    <row r="437" spans="2:5" x14ac:dyDescent="0.6">
      <c r="B437" s="34"/>
      <c r="C437" s="95"/>
      <c r="D437" s="34"/>
      <c r="E437" s="34"/>
    </row>
    <row r="438" spans="2:5" x14ac:dyDescent="0.6">
      <c r="B438" s="34"/>
      <c r="C438" s="95"/>
      <c r="D438" s="34"/>
      <c r="E438" s="34"/>
    </row>
    <row r="439" spans="2:5" x14ac:dyDescent="0.6">
      <c r="B439" s="34"/>
      <c r="C439" s="95"/>
      <c r="D439" s="34"/>
      <c r="E439" s="34"/>
    </row>
    <row r="440" spans="2:5" x14ac:dyDescent="0.6">
      <c r="B440" s="34"/>
      <c r="C440" s="95"/>
      <c r="D440" s="34"/>
      <c r="E440" s="34"/>
    </row>
    <row r="441" spans="2:5" x14ac:dyDescent="0.6">
      <c r="B441" s="34"/>
      <c r="C441" s="95"/>
      <c r="D441" s="34"/>
      <c r="E441" s="34"/>
    </row>
    <row r="442" spans="2:5" x14ac:dyDescent="0.6">
      <c r="B442" s="34"/>
      <c r="C442" s="95"/>
      <c r="D442" s="34"/>
      <c r="E442" s="34"/>
    </row>
    <row r="443" spans="2:5" x14ac:dyDescent="0.6">
      <c r="B443" s="34"/>
      <c r="C443" s="95"/>
      <c r="D443" s="34"/>
      <c r="E443" s="34"/>
    </row>
    <row r="444" spans="2:5" x14ac:dyDescent="0.6">
      <c r="B444" s="34"/>
      <c r="C444" s="95"/>
      <c r="D444" s="34"/>
      <c r="E444" s="34"/>
    </row>
    <row r="445" spans="2:5" x14ac:dyDescent="0.6">
      <c r="B445" s="34"/>
      <c r="C445" s="95"/>
      <c r="D445" s="34"/>
      <c r="E445" s="34"/>
    </row>
    <row r="446" spans="2:5" x14ac:dyDescent="0.6">
      <c r="B446" s="34"/>
      <c r="C446" s="95"/>
      <c r="D446" s="34"/>
      <c r="E446" s="34"/>
    </row>
    <row r="447" spans="2:5" x14ac:dyDescent="0.6">
      <c r="B447" s="34"/>
      <c r="C447" s="95"/>
      <c r="D447" s="34"/>
      <c r="E447" s="34"/>
    </row>
    <row r="448" spans="2:5" x14ac:dyDescent="0.6">
      <c r="B448" s="34"/>
      <c r="C448" s="95"/>
      <c r="D448" s="34"/>
      <c r="E448" s="34"/>
    </row>
    <row r="449" spans="2:5" x14ac:dyDescent="0.6">
      <c r="B449" s="34"/>
      <c r="C449" s="95"/>
      <c r="D449" s="34"/>
      <c r="E449" s="34"/>
    </row>
    <row r="450" spans="2:5" x14ac:dyDescent="0.6">
      <c r="B450" s="34"/>
      <c r="C450" s="95"/>
      <c r="D450" s="34"/>
      <c r="E450" s="34"/>
    </row>
    <row r="451" spans="2:5" x14ac:dyDescent="0.6">
      <c r="B451" s="34"/>
      <c r="C451" s="95"/>
      <c r="D451" s="34"/>
      <c r="E451" s="34"/>
    </row>
    <row r="452" spans="2:5" x14ac:dyDescent="0.6">
      <c r="B452" s="34"/>
      <c r="C452" s="95"/>
      <c r="D452" s="34"/>
      <c r="E452" s="34"/>
    </row>
    <row r="453" spans="2:5" x14ac:dyDescent="0.6">
      <c r="B453" s="34"/>
      <c r="C453" s="95"/>
      <c r="D453" s="34"/>
      <c r="E453" s="34"/>
    </row>
    <row r="454" spans="2:5" x14ac:dyDescent="0.6">
      <c r="B454" s="34"/>
      <c r="C454" s="95"/>
      <c r="D454" s="34"/>
      <c r="E454" s="34"/>
    </row>
    <row r="455" spans="2:5" x14ac:dyDescent="0.6">
      <c r="B455" s="34"/>
      <c r="C455" s="95"/>
      <c r="D455" s="34"/>
      <c r="E455" s="34"/>
    </row>
    <row r="456" spans="2:5" x14ac:dyDescent="0.6">
      <c r="B456" s="34"/>
      <c r="C456" s="95"/>
      <c r="D456" s="34"/>
      <c r="E456" s="34"/>
    </row>
    <row r="457" spans="2:5" x14ac:dyDescent="0.6">
      <c r="B457" s="34"/>
      <c r="C457" s="95"/>
      <c r="D457" s="34"/>
      <c r="E457" s="34"/>
    </row>
    <row r="458" spans="2:5" x14ac:dyDescent="0.6">
      <c r="B458" s="34"/>
      <c r="C458" s="95"/>
      <c r="D458" s="34"/>
      <c r="E458" s="34"/>
    </row>
    <row r="459" spans="2:5" x14ac:dyDescent="0.6">
      <c r="B459" s="34"/>
      <c r="C459" s="95"/>
      <c r="D459" s="34"/>
      <c r="E459" s="34"/>
    </row>
    <row r="460" spans="2:5" x14ac:dyDescent="0.6">
      <c r="B460" s="34"/>
      <c r="C460" s="95"/>
      <c r="D460" s="34"/>
      <c r="E460" s="34"/>
    </row>
    <row r="461" spans="2:5" x14ac:dyDescent="0.6">
      <c r="B461" s="34"/>
      <c r="C461" s="95"/>
      <c r="D461" s="34"/>
      <c r="E461" s="34"/>
    </row>
    <row r="462" spans="2:5" x14ac:dyDescent="0.6">
      <c r="B462" s="34"/>
      <c r="C462" s="95"/>
      <c r="D462" s="34"/>
      <c r="E462" s="34"/>
    </row>
    <row r="463" spans="2:5" x14ac:dyDescent="0.6">
      <c r="B463" s="34"/>
      <c r="C463" s="95"/>
      <c r="D463" s="34"/>
      <c r="E463" s="34"/>
    </row>
    <row r="464" spans="2:5" x14ac:dyDescent="0.6">
      <c r="B464" s="34"/>
      <c r="C464" s="95"/>
      <c r="D464" s="34"/>
      <c r="E464" s="34"/>
    </row>
    <row r="465" spans="2:5" x14ac:dyDescent="0.6">
      <c r="B465" s="34"/>
      <c r="C465" s="95"/>
      <c r="D465" s="34"/>
      <c r="E465" s="34"/>
    </row>
    <row r="466" spans="2:5" x14ac:dyDescent="0.6">
      <c r="B466" s="34"/>
      <c r="C466" s="95"/>
      <c r="D466" s="34"/>
      <c r="E466" s="34"/>
    </row>
    <row r="467" spans="2:5" x14ac:dyDescent="0.6">
      <c r="B467" s="34"/>
      <c r="C467" s="95"/>
      <c r="D467" s="34"/>
      <c r="E467" s="34"/>
    </row>
    <row r="468" spans="2:5" x14ac:dyDescent="0.6">
      <c r="B468" s="34"/>
      <c r="C468" s="95"/>
      <c r="D468" s="34"/>
      <c r="E468" s="34"/>
    </row>
    <row r="469" spans="2:5" x14ac:dyDescent="0.6">
      <c r="B469" s="34"/>
      <c r="C469" s="95"/>
      <c r="D469" s="34"/>
      <c r="E469" s="34"/>
    </row>
    <row r="470" spans="2:5" x14ac:dyDescent="0.6">
      <c r="B470" s="34"/>
      <c r="C470" s="95"/>
      <c r="D470" s="34"/>
      <c r="E470" s="34"/>
    </row>
    <row r="471" spans="2:5" x14ac:dyDescent="0.6">
      <c r="B471" s="34"/>
      <c r="C471" s="95"/>
      <c r="D471" s="34"/>
      <c r="E471" s="34"/>
    </row>
    <row r="472" spans="2:5" x14ac:dyDescent="0.6">
      <c r="B472" s="34"/>
      <c r="C472" s="95"/>
      <c r="D472" s="34"/>
      <c r="E472" s="34"/>
    </row>
    <row r="473" spans="2:5" x14ac:dyDescent="0.6">
      <c r="B473" s="34"/>
      <c r="C473" s="95"/>
      <c r="D473" s="34"/>
      <c r="E473" s="34"/>
    </row>
    <row r="474" spans="2:5" x14ac:dyDescent="0.6">
      <c r="B474" s="34"/>
      <c r="C474" s="95"/>
      <c r="D474" s="34"/>
      <c r="E474" s="34"/>
    </row>
    <row r="475" spans="2:5" x14ac:dyDescent="0.6">
      <c r="B475" s="34"/>
      <c r="C475" s="95"/>
      <c r="D475" s="34"/>
      <c r="E475" s="34"/>
    </row>
    <row r="476" spans="2:5" x14ac:dyDescent="0.6">
      <c r="B476" s="34"/>
      <c r="C476" s="95"/>
      <c r="D476" s="34"/>
      <c r="E476" s="34"/>
    </row>
    <row r="477" spans="2:5" x14ac:dyDescent="0.6">
      <c r="B477" s="34"/>
      <c r="C477" s="95"/>
      <c r="D477" s="34"/>
      <c r="E477" s="34"/>
    </row>
    <row r="478" spans="2:5" x14ac:dyDescent="0.6">
      <c r="B478" s="34"/>
      <c r="C478" s="95"/>
      <c r="D478" s="34"/>
      <c r="E478" s="34"/>
    </row>
    <row r="479" spans="2:5" x14ac:dyDescent="0.6">
      <c r="B479" s="34"/>
      <c r="C479" s="95"/>
      <c r="D479" s="34"/>
      <c r="E479" s="34"/>
    </row>
    <row r="480" spans="2:5" x14ac:dyDescent="0.6">
      <c r="B480" s="34"/>
      <c r="C480" s="95"/>
      <c r="D480" s="34"/>
      <c r="E480" s="34"/>
    </row>
    <row r="481" spans="2:5" x14ac:dyDescent="0.6">
      <c r="B481" s="34"/>
      <c r="C481" s="95"/>
      <c r="D481" s="34"/>
      <c r="E481" s="34"/>
    </row>
    <row r="482" spans="2:5" x14ac:dyDescent="0.6">
      <c r="B482" s="34"/>
      <c r="C482" s="95"/>
      <c r="D482" s="34"/>
      <c r="E482" s="34"/>
    </row>
    <row r="483" spans="2:5" x14ac:dyDescent="0.6">
      <c r="B483" s="34"/>
      <c r="C483" s="95"/>
      <c r="D483" s="34"/>
      <c r="E483" s="34"/>
    </row>
    <row r="484" spans="2:5" x14ac:dyDescent="0.6">
      <c r="B484" s="34"/>
      <c r="C484" s="95"/>
      <c r="D484" s="34"/>
      <c r="E484" s="34"/>
    </row>
    <row r="485" spans="2:5" x14ac:dyDescent="0.6">
      <c r="B485" s="34"/>
      <c r="C485" s="95"/>
      <c r="D485" s="34"/>
      <c r="E485" s="34"/>
    </row>
    <row r="486" spans="2:5" x14ac:dyDescent="0.6">
      <c r="B486" s="34"/>
      <c r="C486" s="95"/>
      <c r="D486" s="34"/>
      <c r="E486" s="34"/>
    </row>
    <row r="487" spans="2:5" x14ac:dyDescent="0.6">
      <c r="B487" s="34"/>
      <c r="C487" s="95"/>
      <c r="D487" s="34"/>
      <c r="E487" s="34"/>
    </row>
    <row r="488" spans="2:5" x14ac:dyDescent="0.6">
      <c r="B488" s="34"/>
      <c r="C488" s="95"/>
      <c r="D488" s="34"/>
      <c r="E488" s="34"/>
    </row>
    <row r="489" spans="2:5" x14ac:dyDescent="0.6">
      <c r="B489" s="34"/>
      <c r="C489" s="95"/>
      <c r="D489" s="34"/>
      <c r="E489" s="34"/>
    </row>
    <row r="490" spans="2:5" x14ac:dyDescent="0.6">
      <c r="B490" s="34"/>
      <c r="C490" s="95"/>
      <c r="D490" s="34"/>
      <c r="E490" s="34"/>
    </row>
    <row r="491" spans="2:5" x14ac:dyDescent="0.6">
      <c r="B491" s="34"/>
      <c r="C491" s="95"/>
      <c r="D491" s="34"/>
      <c r="E491" s="34"/>
    </row>
    <row r="492" spans="2:5" x14ac:dyDescent="0.6">
      <c r="B492" s="34"/>
      <c r="C492" s="95"/>
      <c r="D492" s="34"/>
      <c r="E492" s="34"/>
    </row>
    <row r="493" spans="2:5" x14ac:dyDescent="0.6">
      <c r="B493" s="34"/>
      <c r="C493" s="95"/>
      <c r="D493" s="34"/>
      <c r="E493" s="34"/>
    </row>
    <row r="494" spans="2:5" x14ac:dyDescent="0.6">
      <c r="B494" s="34"/>
      <c r="C494" s="95"/>
      <c r="D494" s="34"/>
      <c r="E494" s="34"/>
    </row>
    <row r="495" spans="2:5" x14ac:dyDescent="0.6">
      <c r="B495" s="34"/>
      <c r="C495" s="95"/>
      <c r="D495" s="34"/>
      <c r="E495" s="34"/>
    </row>
    <row r="496" spans="2:5" x14ac:dyDescent="0.6">
      <c r="B496" s="34"/>
      <c r="C496" s="95"/>
      <c r="D496" s="34"/>
      <c r="E496" s="34"/>
    </row>
    <row r="497" spans="2:5" x14ac:dyDescent="0.6">
      <c r="B497" s="34"/>
      <c r="C497" s="95"/>
      <c r="D497" s="34"/>
      <c r="E497" s="34"/>
    </row>
    <row r="498" spans="2:5" x14ac:dyDescent="0.6">
      <c r="B498" s="34"/>
      <c r="C498" s="95"/>
      <c r="D498" s="34"/>
      <c r="E498" s="34"/>
    </row>
    <row r="499" spans="2:5" x14ac:dyDescent="0.6">
      <c r="B499" s="34"/>
      <c r="C499" s="95"/>
      <c r="D499" s="34"/>
      <c r="E499" s="34"/>
    </row>
    <row r="500" spans="2:5" x14ac:dyDescent="0.6">
      <c r="B500" s="34"/>
      <c r="C500" s="95"/>
      <c r="D500" s="34"/>
      <c r="E500" s="34"/>
    </row>
    <row r="501" spans="2:5" x14ac:dyDescent="0.6">
      <c r="B501" s="34"/>
      <c r="C501" s="95"/>
      <c r="D501" s="34"/>
      <c r="E501" s="34"/>
    </row>
    <row r="502" spans="2:5" x14ac:dyDescent="0.6">
      <c r="B502" s="34"/>
      <c r="C502" s="95"/>
      <c r="D502" s="34"/>
      <c r="E502" s="34"/>
    </row>
    <row r="503" spans="2:5" x14ac:dyDescent="0.6">
      <c r="B503" s="34"/>
      <c r="C503" s="95"/>
      <c r="D503" s="34"/>
      <c r="E503" s="34"/>
    </row>
    <row r="504" spans="2:5" x14ac:dyDescent="0.6">
      <c r="B504" s="34"/>
      <c r="C504" s="95"/>
      <c r="D504" s="34"/>
      <c r="E504" s="34"/>
    </row>
    <row r="505" spans="2:5" x14ac:dyDescent="0.6">
      <c r="B505" s="34"/>
      <c r="C505" s="95"/>
      <c r="D505" s="34"/>
      <c r="E505" s="34"/>
    </row>
    <row r="506" spans="2:5" x14ac:dyDescent="0.6">
      <c r="B506" s="34"/>
      <c r="C506" s="95"/>
      <c r="D506" s="34"/>
      <c r="E506" s="34"/>
    </row>
    <row r="507" spans="2:5" x14ac:dyDescent="0.6">
      <c r="B507" s="34"/>
      <c r="C507" s="95"/>
      <c r="D507" s="34"/>
      <c r="E507" s="34"/>
    </row>
    <row r="508" spans="2:5" x14ac:dyDescent="0.6">
      <c r="B508" s="34"/>
      <c r="C508" s="95"/>
      <c r="D508" s="34"/>
      <c r="E508" s="34"/>
    </row>
    <row r="509" spans="2:5" x14ac:dyDescent="0.6">
      <c r="B509" s="34"/>
      <c r="C509" s="95"/>
      <c r="D509" s="34"/>
      <c r="E509" s="34"/>
    </row>
    <row r="510" spans="2:5" x14ac:dyDescent="0.6">
      <c r="B510" s="34"/>
      <c r="C510" s="95"/>
      <c r="D510" s="34"/>
      <c r="E510" s="34"/>
    </row>
    <row r="511" spans="2:5" x14ac:dyDescent="0.6">
      <c r="B511" s="34"/>
      <c r="C511" s="95"/>
      <c r="D511" s="34"/>
      <c r="E511" s="34"/>
    </row>
    <row r="512" spans="2:5" x14ac:dyDescent="0.6">
      <c r="B512" s="34"/>
      <c r="C512" s="95"/>
      <c r="D512" s="34"/>
      <c r="E512" s="34"/>
    </row>
    <row r="513" spans="2:5" x14ac:dyDescent="0.6">
      <c r="B513" s="34"/>
      <c r="C513" s="95"/>
      <c r="D513" s="34"/>
      <c r="E513" s="34"/>
    </row>
    <row r="514" spans="2:5" x14ac:dyDescent="0.6">
      <c r="B514" s="34"/>
      <c r="C514" s="95"/>
      <c r="D514" s="34"/>
      <c r="E514" s="34"/>
    </row>
    <row r="515" spans="2:5" x14ac:dyDescent="0.6">
      <c r="B515" s="34"/>
      <c r="C515" s="95"/>
      <c r="D515" s="34"/>
      <c r="E515" s="34"/>
    </row>
    <row r="516" spans="2:5" x14ac:dyDescent="0.6">
      <c r="B516" s="34"/>
      <c r="C516" s="95"/>
      <c r="D516" s="34"/>
      <c r="E516" s="34"/>
    </row>
    <row r="517" spans="2:5" x14ac:dyDescent="0.6">
      <c r="B517" s="34"/>
      <c r="C517" s="95"/>
      <c r="D517" s="34"/>
      <c r="E517" s="34"/>
    </row>
    <row r="518" spans="2:5" x14ac:dyDescent="0.6">
      <c r="B518" s="34"/>
      <c r="C518" s="95"/>
      <c r="D518" s="34"/>
      <c r="E518" s="34"/>
    </row>
    <row r="519" spans="2:5" x14ac:dyDescent="0.6">
      <c r="B519" s="34"/>
      <c r="C519" s="95"/>
      <c r="D519" s="34"/>
      <c r="E519" s="34"/>
    </row>
    <row r="520" spans="2:5" x14ac:dyDescent="0.6">
      <c r="B520" s="34"/>
      <c r="C520" s="95"/>
      <c r="D520" s="34"/>
      <c r="E520" s="34"/>
    </row>
    <row r="521" spans="2:5" x14ac:dyDescent="0.6">
      <c r="B521" s="34"/>
      <c r="C521" s="95"/>
      <c r="D521" s="34"/>
      <c r="E521" s="34"/>
    </row>
    <row r="522" spans="2:5" x14ac:dyDescent="0.6">
      <c r="B522" s="34"/>
      <c r="C522" s="95"/>
      <c r="D522" s="34"/>
      <c r="E522" s="34"/>
    </row>
    <row r="523" spans="2:5" x14ac:dyDescent="0.6">
      <c r="B523" s="34"/>
      <c r="C523" s="95"/>
      <c r="D523" s="34"/>
      <c r="E523" s="34"/>
    </row>
    <row r="524" spans="2:5" x14ac:dyDescent="0.6">
      <c r="B524" s="34"/>
      <c r="C524" s="95"/>
      <c r="D524" s="34"/>
      <c r="E524" s="34"/>
    </row>
    <row r="525" spans="2:5" x14ac:dyDescent="0.6">
      <c r="B525" s="34"/>
      <c r="C525" s="95"/>
      <c r="D525" s="34"/>
      <c r="E525" s="34"/>
    </row>
    <row r="526" spans="2:5" x14ac:dyDescent="0.6">
      <c r="B526" s="34"/>
      <c r="C526" s="95"/>
      <c r="D526" s="34"/>
      <c r="E526" s="34"/>
    </row>
    <row r="527" spans="2:5" x14ac:dyDescent="0.6">
      <c r="B527" s="34"/>
      <c r="C527" s="95"/>
      <c r="D527" s="34"/>
      <c r="E527" s="34"/>
    </row>
    <row r="528" spans="2:5" x14ac:dyDescent="0.6">
      <c r="B528" s="34"/>
      <c r="C528" s="95"/>
      <c r="D528" s="34"/>
      <c r="E528" s="34"/>
    </row>
    <row r="529" spans="2:5" x14ac:dyDescent="0.6">
      <c r="B529" s="34"/>
      <c r="C529" s="95"/>
      <c r="D529" s="34"/>
      <c r="E529" s="34"/>
    </row>
    <row r="530" spans="2:5" x14ac:dyDescent="0.6">
      <c r="B530" s="34"/>
      <c r="C530" s="95"/>
      <c r="D530" s="34"/>
      <c r="E530" s="34"/>
    </row>
    <row r="531" spans="2:5" x14ac:dyDescent="0.6">
      <c r="B531" s="34"/>
      <c r="C531" s="95"/>
      <c r="D531" s="34"/>
      <c r="E531" s="34"/>
    </row>
    <row r="532" spans="2:5" x14ac:dyDescent="0.6">
      <c r="B532" s="34"/>
      <c r="C532" s="95"/>
      <c r="D532" s="34"/>
      <c r="E532" s="34"/>
    </row>
    <row r="533" spans="2:5" x14ac:dyDescent="0.6">
      <c r="B533" s="34"/>
      <c r="C533" s="95"/>
      <c r="D533" s="34"/>
      <c r="E533" s="34"/>
    </row>
    <row r="534" spans="2:5" x14ac:dyDescent="0.6">
      <c r="B534" s="34"/>
      <c r="C534" s="95"/>
      <c r="D534" s="34"/>
      <c r="E534" s="34"/>
    </row>
    <row r="535" spans="2:5" x14ac:dyDescent="0.6">
      <c r="B535" s="34"/>
      <c r="C535" s="95"/>
      <c r="D535" s="34"/>
      <c r="E535" s="34"/>
    </row>
    <row r="536" spans="2:5" x14ac:dyDescent="0.6">
      <c r="B536" s="34"/>
      <c r="C536" s="95"/>
      <c r="D536" s="34"/>
      <c r="E536" s="34"/>
    </row>
    <row r="537" spans="2:5" x14ac:dyDescent="0.6">
      <c r="B537" s="34"/>
      <c r="C537" s="95"/>
      <c r="D537" s="34"/>
      <c r="E537" s="34"/>
    </row>
    <row r="538" spans="2:5" x14ac:dyDescent="0.6">
      <c r="B538" s="34"/>
      <c r="C538" s="95"/>
      <c r="D538" s="34"/>
      <c r="E538" s="34"/>
    </row>
    <row r="539" spans="2:5" x14ac:dyDescent="0.6">
      <c r="B539" s="34"/>
      <c r="C539" s="95"/>
      <c r="D539" s="34"/>
      <c r="E539" s="34"/>
    </row>
    <row r="540" spans="2:5" x14ac:dyDescent="0.6">
      <c r="B540" s="34"/>
      <c r="C540" s="95"/>
      <c r="D540" s="34"/>
      <c r="E540" s="34"/>
    </row>
    <row r="541" spans="2:5" x14ac:dyDescent="0.6">
      <c r="B541" s="34"/>
      <c r="C541" s="95"/>
      <c r="D541" s="34"/>
      <c r="E541" s="34"/>
    </row>
    <row r="542" spans="2:5" x14ac:dyDescent="0.6">
      <c r="B542" s="34"/>
      <c r="C542" s="95"/>
      <c r="D542" s="34"/>
      <c r="E542" s="34"/>
    </row>
    <row r="543" spans="2:5" x14ac:dyDescent="0.6">
      <c r="B543" s="34"/>
      <c r="C543" s="95"/>
      <c r="D543" s="34"/>
      <c r="E543" s="34"/>
    </row>
    <row r="544" spans="2:5" x14ac:dyDescent="0.6">
      <c r="B544" s="34"/>
      <c r="C544" s="95"/>
      <c r="D544" s="34"/>
      <c r="E544" s="34"/>
    </row>
    <row r="545" spans="2:5" x14ac:dyDescent="0.6">
      <c r="B545" s="34"/>
      <c r="C545" s="95"/>
      <c r="D545" s="34"/>
      <c r="E545" s="34"/>
    </row>
    <row r="546" spans="2:5" x14ac:dyDescent="0.6">
      <c r="B546" s="34"/>
      <c r="C546" s="95"/>
      <c r="D546" s="34"/>
      <c r="E546" s="34"/>
    </row>
    <row r="547" spans="2:5" x14ac:dyDescent="0.6">
      <c r="B547" s="34"/>
      <c r="C547" s="95"/>
      <c r="D547" s="34"/>
      <c r="E547" s="34"/>
    </row>
    <row r="548" spans="2:5" x14ac:dyDescent="0.6">
      <c r="B548" s="34"/>
      <c r="C548" s="95"/>
      <c r="D548" s="34"/>
      <c r="E548" s="34"/>
    </row>
    <row r="549" spans="2:5" x14ac:dyDescent="0.6">
      <c r="B549" s="34"/>
      <c r="C549" s="95"/>
      <c r="D549" s="34"/>
      <c r="E549" s="34"/>
    </row>
    <row r="550" spans="2:5" x14ac:dyDescent="0.6">
      <c r="B550" s="34"/>
      <c r="C550" s="95"/>
      <c r="D550" s="34"/>
      <c r="E550" s="34"/>
    </row>
    <row r="551" spans="2:5" x14ac:dyDescent="0.6">
      <c r="B551" s="34"/>
      <c r="C551" s="95"/>
      <c r="D551" s="34"/>
      <c r="E551" s="34"/>
    </row>
    <row r="552" spans="2:5" x14ac:dyDescent="0.6">
      <c r="B552" s="34"/>
      <c r="C552" s="95"/>
      <c r="D552" s="34"/>
      <c r="E552" s="34"/>
    </row>
    <row r="553" spans="2:5" x14ac:dyDescent="0.6">
      <c r="B553" s="34"/>
      <c r="C553" s="95"/>
      <c r="D553" s="34"/>
      <c r="E553" s="34"/>
    </row>
    <row r="554" spans="2:5" x14ac:dyDescent="0.6">
      <c r="B554" s="34"/>
      <c r="C554" s="95"/>
      <c r="D554" s="34"/>
      <c r="E554" s="34"/>
    </row>
    <row r="555" spans="2:5" x14ac:dyDescent="0.6">
      <c r="B555" s="34"/>
      <c r="C555" s="95"/>
      <c r="D555" s="34"/>
      <c r="E555" s="34"/>
    </row>
    <row r="556" spans="2:5" x14ac:dyDescent="0.6">
      <c r="B556" s="34"/>
      <c r="C556" s="95"/>
      <c r="D556" s="34"/>
      <c r="E556" s="34"/>
    </row>
    <row r="557" spans="2:5" x14ac:dyDescent="0.6">
      <c r="B557" s="34"/>
      <c r="C557" s="95"/>
      <c r="D557" s="34"/>
      <c r="E557" s="34"/>
    </row>
    <row r="558" spans="2:5" x14ac:dyDescent="0.6">
      <c r="B558" s="34"/>
      <c r="C558" s="95"/>
      <c r="D558" s="34"/>
      <c r="E558" s="34"/>
    </row>
    <row r="559" spans="2:5" x14ac:dyDescent="0.6">
      <c r="B559" s="34"/>
      <c r="C559" s="95"/>
      <c r="D559" s="34"/>
      <c r="E559" s="34"/>
    </row>
    <row r="560" spans="2:5" x14ac:dyDescent="0.6">
      <c r="B560" s="34"/>
      <c r="C560" s="95"/>
      <c r="D560" s="34"/>
      <c r="E560" s="34"/>
    </row>
    <row r="561" spans="2:5" x14ac:dyDescent="0.6">
      <c r="B561" s="34"/>
      <c r="C561" s="95"/>
      <c r="D561" s="34"/>
      <c r="E561" s="34"/>
    </row>
    <row r="562" spans="2:5" x14ac:dyDescent="0.6">
      <c r="B562" s="34"/>
      <c r="C562" s="95"/>
      <c r="D562" s="34"/>
      <c r="E562" s="34"/>
    </row>
    <row r="563" spans="2:5" x14ac:dyDescent="0.6">
      <c r="B563" s="34"/>
      <c r="C563" s="95"/>
      <c r="D563" s="34"/>
      <c r="E563" s="34"/>
    </row>
    <row r="564" spans="2:5" x14ac:dyDescent="0.6">
      <c r="B564" s="34"/>
      <c r="C564" s="95"/>
      <c r="D564" s="34"/>
      <c r="E564" s="34"/>
    </row>
    <row r="565" spans="2:5" x14ac:dyDescent="0.6">
      <c r="B565" s="34"/>
      <c r="C565" s="95"/>
      <c r="D565" s="34"/>
      <c r="E565" s="34"/>
    </row>
    <row r="566" spans="2:5" x14ac:dyDescent="0.6">
      <c r="B566" s="34"/>
      <c r="C566" s="95"/>
      <c r="D566" s="34"/>
      <c r="E566" s="34"/>
    </row>
    <row r="567" spans="2:5" x14ac:dyDescent="0.6">
      <c r="B567" s="34"/>
      <c r="C567" s="95"/>
      <c r="D567" s="34"/>
      <c r="E567" s="34"/>
    </row>
    <row r="568" spans="2:5" x14ac:dyDescent="0.6">
      <c r="B568" s="34"/>
      <c r="C568" s="95"/>
      <c r="D568" s="34"/>
      <c r="E568" s="34"/>
    </row>
    <row r="569" spans="2:5" x14ac:dyDescent="0.6">
      <c r="B569" s="34"/>
      <c r="C569" s="95"/>
      <c r="D569" s="34"/>
      <c r="E569" s="34"/>
    </row>
    <row r="570" spans="2:5" x14ac:dyDescent="0.6">
      <c r="B570" s="34"/>
      <c r="C570" s="95"/>
      <c r="D570" s="34"/>
      <c r="E570" s="34"/>
    </row>
    <row r="571" spans="2:5" x14ac:dyDescent="0.6">
      <c r="B571" s="34"/>
      <c r="C571" s="95"/>
      <c r="D571" s="34"/>
      <c r="E571" s="34"/>
    </row>
    <row r="572" spans="2:5" x14ac:dyDescent="0.6">
      <c r="B572" s="34"/>
      <c r="C572" s="95"/>
      <c r="D572" s="34"/>
      <c r="E572" s="34"/>
    </row>
    <row r="573" spans="2:5" x14ac:dyDescent="0.6">
      <c r="B573" s="34"/>
      <c r="C573" s="95"/>
      <c r="D573" s="34"/>
      <c r="E573" s="34"/>
    </row>
    <row r="574" spans="2:5" x14ac:dyDescent="0.6">
      <c r="B574" s="34"/>
      <c r="C574" s="95"/>
      <c r="D574" s="34"/>
      <c r="E574" s="34"/>
    </row>
    <row r="575" spans="2:5" x14ac:dyDescent="0.6">
      <c r="B575" s="34"/>
      <c r="C575" s="95"/>
      <c r="D575" s="34"/>
      <c r="E575" s="34"/>
    </row>
    <row r="576" spans="2:5" x14ac:dyDescent="0.6">
      <c r="B576" s="34"/>
      <c r="C576" s="95"/>
      <c r="D576" s="34"/>
      <c r="E576" s="34"/>
    </row>
    <row r="577" spans="2:5" x14ac:dyDescent="0.6">
      <c r="B577" s="34"/>
      <c r="C577" s="95"/>
      <c r="D577" s="34"/>
      <c r="E577" s="34"/>
    </row>
    <row r="578" spans="2:5" x14ac:dyDescent="0.6">
      <c r="B578" s="34"/>
      <c r="C578" s="95"/>
      <c r="D578" s="34"/>
      <c r="E578" s="34"/>
    </row>
    <row r="579" spans="2:5" x14ac:dyDescent="0.6">
      <c r="B579" s="34"/>
      <c r="C579" s="95"/>
      <c r="D579" s="34"/>
      <c r="E579" s="34"/>
    </row>
    <row r="580" spans="2:5" x14ac:dyDescent="0.6">
      <c r="B580" s="34"/>
      <c r="C580" s="95"/>
      <c r="D580" s="34"/>
      <c r="E580" s="34"/>
    </row>
    <row r="581" spans="2:5" x14ac:dyDescent="0.6">
      <c r="B581" s="34"/>
      <c r="C581" s="95"/>
      <c r="D581" s="34"/>
      <c r="E581" s="34"/>
    </row>
    <row r="582" spans="2:5" x14ac:dyDescent="0.6">
      <c r="B582" s="34"/>
      <c r="C582" s="95"/>
      <c r="D582" s="34"/>
      <c r="E582" s="34"/>
    </row>
    <row r="583" spans="2:5" x14ac:dyDescent="0.6">
      <c r="B583" s="34"/>
      <c r="C583" s="95"/>
      <c r="D583" s="34"/>
      <c r="E583" s="34"/>
    </row>
    <row r="584" spans="2:5" x14ac:dyDescent="0.6">
      <c r="B584" s="34"/>
      <c r="C584" s="95"/>
      <c r="D584" s="34"/>
      <c r="E584" s="34"/>
    </row>
    <row r="585" spans="2:5" x14ac:dyDescent="0.6">
      <c r="B585" s="34"/>
      <c r="C585" s="95"/>
      <c r="D585" s="34"/>
      <c r="E585" s="34"/>
    </row>
    <row r="586" spans="2:5" x14ac:dyDescent="0.6">
      <c r="B586" s="34"/>
      <c r="C586" s="95"/>
      <c r="D586" s="34"/>
      <c r="E586" s="34"/>
    </row>
    <row r="587" spans="2:5" x14ac:dyDescent="0.6">
      <c r="B587" s="34"/>
      <c r="C587" s="95"/>
      <c r="D587" s="34"/>
      <c r="E587" s="34"/>
    </row>
    <row r="588" spans="2:5" x14ac:dyDescent="0.6">
      <c r="B588" s="34"/>
      <c r="C588" s="95"/>
      <c r="D588" s="34"/>
      <c r="E588" s="34"/>
    </row>
    <row r="589" spans="2:5" x14ac:dyDescent="0.6">
      <c r="B589" s="34"/>
      <c r="C589" s="95"/>
      <c r="D589" s="34"/>
      <c r="E589" s="34"/>
    </row>
    <row r="590" spans="2:5" x14ac:dyDescent="0.6">
      <c r="B590" s="34"/>
      <c r="C590" s="95"/>
      <c r="D590" s="34"/>
      <c r="E590" s="34"/>
    </row>
    <row r="591" spans="2:5" x14ac:dyDescent="0.6">
      <c r="B591" s="34"/>
      <c r="C591" s="95"/>
      <c r="D591" s="34"/>
      <c r="E591" s="34"/>
    </row>
    <row r="592" spans="2:5" x14ac:dyDescent="0.6">
      <c r="B592" s="34"/>
      <c r="C592" s="95"/>
      <c r="D592" s="34"/>
      <c r="E592" s="34"/>
    </row>
    <row r="593" spans="2:5" x14ac:dyDescent="0.6">
      <c r="B593" s="34"/>
      <c r="C593" s="95"/>
      <c r="D593" s="34"/>
      <c r="E593" s="34"/>
    </row>
    <row r="594" spans="2:5" x14ac:dyDescent="0.6">
      <c r="B594" s="34"/>
      <c r="C594" s="95"/>
      <c r="D594" s="34"/>
      <c r="E594" s="34"/>
    </row>
    <row r="595" spans="2:5" x14ac:dyDescent="0.6">
      <c r="B595" s="34"/>
      <c r="C595" s="95"/>
      <c r="D595" s="34"/>
      <c r="E595" s="34"/>
    </row>
    <row r="596" spans="2:5" x14ac:dyDescent="0.6">
      <c r="B596" s="34"/>
      <c r="C596" s="95"/>
      <c r="D596" s="34"/>
      <c r="E596" s="34"/>
    </row>
    <row r="597" spans="2:5" x14ac:dyDescent="0.6">
      <c r="B597" s="34"/>
      <c r="C597" s="95"/>
      <c r="D597" s="34"/>
      <c r="E597" s="34"/>
    </row>
    <row r="598" spans="2:5" x14ac:dyDescent="0.6">
      <c r="B598" s="34"/>
      <c r="C598" s="95"/>
      <c r="D598" s="34"/>
      <c r="E598" s="34"/>
    </row>
    <row r="599" spans="2:5" x14ac:dyDescent="0.6">
      <c r="B599" s="34"/>
      <c r="C599" s="95"/>
      <c r="D599" s="34"/>
      <c r="E599" s="34"/>
    </row>
    <row r="600" spans="2:5" x14ac:dyDescent="0.6">
      <c r="B600" s="34"/>
      <c r="C600" s="95"/>
      <c r="D600" s="34"/>
      <c r="E600" s="34"/>
    </row>
    <row r="601" spans="2:5" x14ac:dyDescent="0.6">
      <c r="B601" s="34"/>
      <c r="C601" s="95"/>
      <c r="D601" s="34"/>
      <c r="E601" s="34"/>
    </row>
    <row r="602" spans="2:5" x14ac:dyDescent="0.6">
      <c r="B602" s="34"/>
      <c r="C602" s="95"/>
      <c r="D602" s="34"/>
      <c r="E602" s="34"/>
    </row>
    <row r="603" spans="2:5" x14ac:dyDescent="0.6">
      <c r="B603" s="34"/>
      <c r="C603" s="95"/>
      <c r="D603" s="34"/>
      <c r="E603" s="34"/>
    </row>
    <row r="604" spans="2:5" x14ac:dyDescent="0.6">
      <c r="B604" s="34"/>
      <c r="C604" s="95"/>
      <c r="D604" s="34"/>
      <c r="E604" s="34"/>
    </row>
    <row r="605" spans="2:5" x14ac:dyDescent="0.6">
      <c r="B605" s="34"/>
      <c r="C605" s="95"/>
      <c r="D605" s="34"/>
      <c r="E605" s="34"/>
    </row>
    <row r="606" spans="2:5" x14ac:dyDescent="0.6">
      <c r="B606" s="34"/>
      <c r="C606" s="95"/>
      <c r="D606" s="34"/>
      <c r="E606" s="34"/>
    </row>
    <row r="607" spans="2:5" x14ac:dyDescent="0.6">
      <c r="B607" s="34"/>
      <c r="C607" s="95"/>
      <c r="D607" s="34"/>
      <c r="E607" s="34"/>
    </row>
    <row r="608" spans="2:5" x14ac:dyDescent="0.6">
      <c r="B608" s="34"/>
      <c r="C608" s="95"/>
      <c r="D608" s="34"/>
      <c r="E608" s="34"/>
    </row>
    <row r="609" spans="2:5" x14ac:dyDescent="0.6">
      <c r="B609" s="34"/>
      <c r="C609" s="95"/>
      <c r="D609" s="34"/>
      <c r="E609" s="34"/>
    </row>
    <row r="610" spans="2:5" x14ac:dyDescent="0.6">
      <c r="B610" s="34"/>
      <c r="C610" s="95"/>
      <c r="D610" s="34"/>
      <c r="E610" s="34"/>
    </row>
    <row r="611" spans="2:5" x14ac:dyDescent="0.6">
      <c r="B611" s="34"/>
      <c r="C611" s="95"/>
      <c r="D611" s="34"/>
      <c r="E611" s="34"/>
    </row>
    <row r="612" spans="2:5" x14ac:dyDescent="0.6">
      <c r="B612" s="34"/>
      <c r="C612" s="95"/>
      <c r="D612" s="34"/>
      <c r="E612" s="34"/>
    </row>
    <row r="613" spans="2:5" x14ac:dyDescent="0.6">
      <c r="B613" s="34"/>
      <c r="C613" s="95"/>
      <c r="D613" s="34"/>
      <c r="E613" s="34"/>
    </row>
    <row r="614" spans="2:5" x14ac:dyDescent="0.6">
      <c r="B614" s="34"/>
      <c r="C614" s="95"/>
      <c r="D614" s="34"/>
      <c r="E614" s="34"/>
    </row>
    <row r="615" spans="2:5" x14ac:dyDescent="0.6">
      <c r="B615" s="34"/>
      <c r="C615" s="95"/>
      <c r="D615" s="34"/>
      <c r="E615" s="34"/>
    </row>
    <row r="616" spans="2:5" x14ac:dyDescent="0.6">
      <c r="B616" s="34"/>
      <c r="C616" s="95"/>
      <c r="D616" s="34"/>
      <c r="E616" s="34"/>
    </row>
    <row r="617" spans="2:5" x14ac:dyDescent="0.6">
      <c r="B617" s="34"/>
      <c r="C617" s="95"/>
      <c r="D617" s="34"/>
      <c r="E617" s="34"/>
    </row>
    <row r="618" spans="2:5" x14ac:dyDescent="0.6">
      <c r="B618" s="34"/>
      <c r="C618" s="95"/>
      <c r="D618" s="34"/>
      <c r="E618" s="34"/>
    </row>
    <row r="619" spans="2:5" x14ac:dyDescent="0.6">
      <c r="B619" s="34"/>
      <c r="C619" s="95"/>
      <c r="D619" s="34"/>
      <c r="E619" s="34"/>
    </row>
    <row r="620" spans="2:5" x14ac:dyDescent="0.6">
      <c r="B620" s="34"/>
      <c r="C620" s="95"/>
      <c r="D620" s="34"/>
      <c r="E620" s="34"/>
    </row>
    <row r="621" spans="2:5" x14ac:dyDescent="0.6">
      <c r="B621" s="34"/>
      <c r="C621" s="95"/>
      <c r="D621" s="34"/>
      <c r="E621" s="34"/>
    </row>
    <row r="622" spans="2:5" x14ac:dyDescent="0.6">
      <c r="B622" s="34"/>
      <c r="C622" s="95"/>
      <c r="D622" s="34"/>
      <c r="E622" s="34"/>
    </row>
    <row r="623" spans="2:5" x14ac:dyDescent="0.6">
      <c r="B623" s="34"/>
      <c r="C623" s="95"/>
      <c r="D623" s="34"/>
      <c r="E623" s="34"/>
    </row>
    <row r="624" spans="2:5" x14ac:dyDescent="0.6">
      <c r="B624" s="34"/>
      <c r="C624" s="95"/>
      <c r="D624" s="34"/>
      <c r="E624" s="34"/>
    </row>
    <row r="625" spans="2:5" x14ac:dyDescent="0.6">
      <c r="B625" s="34"/>
      <c r="C625" s="95"/>
      <c r="D625" s="34"/>
      <c r="E625" s="34"/>
    </row>
    <row r="626" spans="2:5" x14ac:dyDescent="0.6">
      <c r="B626" s="34"/>
      <c r="C626" s="95"/>
      <c r="D626" s="34"/>
      <c r="E626" s="34"/>
    </row>
    <row r="627" spans="2:5" x14ac:dyDescent="0.6">
      <c r="B627" s="34"/>
      <c r="C627" s="95"/>
      <c r="D627" s="34"/>
      <c r="E627" s="34"/>
    </row>
    <row r="628" spans="2:5" x14ac:dyDescent="0.6">
      <c r="B628" s="34"/>
      <c r="C628" s="95"/>
      <c r="D628" s="34"/>
      <c r="E628" s="34"/>
    </row>
    <row r="629" spans="2:5" x14ac:dyDescent="0.6">
      <c r="B629" s="34"/>
      <c r="C629" s="95"/>
      <c r="D629" s="34"/>
      <c r="E629" s="34"/>
    </row>
    <row r="630" spans="2:5" x14ac:dyDescent="0.6">
      <c r="B630" s="34"/>
      <c r="C630" s="95"/>
      <c r="D630" s="34"/>
      <c r="E630" s="34"/>
    </row>
    <row r="631" spans="2:5" x14ac:dyDescent="0.6">
      <c r="B631" s="34"/>
      <c r="C631" s="95"/>
      <c r="D631" s="34"/>
      <c r="E631" s="34"/>
    </row>
    <row r="632" spans="2:5" x14ac:dyDescent="0.6">
      <c r="B632" s="34"/>
      <c r="C632" s="95"/>
      <c r="D632" s="34"/>
      <c r="E632" s="34"/>
    </row>
    <row r="633" spans="2:5" x14ac:dyDescent="0.6">
      <c r="B633" s="34"/>
      <c r="C633" s="95"/>
      <c r="D633" s="34"/>
      <c r="E633" s="34"/>
    </row>
    <row r="634" spans="2:5" x14ac:dyDescent="0.6">
      <c r="B634" s="34"/>
      <c r="C634" s="95"/>
      <c r="D634" s="34"/>
      <c r="E634" s="34"/>
    </row>
    <row r="635" spans="2:5" x14ac:dyDescent="0.6">
      <c r="B635" s="34"/>
      <c r="C635" s="95"/>
      <c r="D635" s="34"/>
      <c r="E635" s="34"/>
    </row>
    <row r="636" spans="2:5" x14ac:dyDescent="0.6">
      <c r="B636" s="34"/>
      <c r="C636" s="95"/>
      <c r="D636" s="34"/>
      <c r="E636" s="34"/>
    </row>
    <row r="637" spans="2:5" x14ac:dyDescent="0.6">
      <c r="B637" s="34"/>
      <c r="C637" s="95"/>
      <c r="D637" s="34"/>
      <c r="E637" s="34"/>
    </row>
    <row r="638" spans="2:5" x14ac:dyDescent="0.6">
      <c r="B638" s="34"/>
      <c r="C638" s="95"/>
      <c r="D638" s="34"/>
      <c r="E638" s="34"/>
    </row>
    <row r="639" spans="2:5" x14ac:dyDescent="0.6">
      <c r="B639" s="34"/>
      <c r="C639" s="95"/>
      <c r="D639" s="34"/>
      <c r="E639" s="34"/>
    </row>
    <row r="640" spans="2:5" x14ac:dyDescent="0.6">
      <c r="B640" s="34"/>
      <c r="C640" s="95"/>
      <c r="D640" s="34"/>
      <c r="E640" s="34"/>
    </row>
    <row r="641" spans="2:5" x14ac:dyDescent="0.6">
      <c r="B641" s="34"/>
      <c r="C641" s="95"/>
      <c r="D641" s="34"/>
      <c r="E641" s="34"/>
    </row>
    <row r="642" spans="2:5" x14ac:dyDescent="0.6">
      <c r="B642" s="34"/>
      <c r="C642" s="95"/>
      <c r="D642" s="34"/>
      <c r="E642" s="34"/>
    </row>
    <row r="643" spans="2:5" x14ac:dyDescent="0.6">
      <c r="B643" s="34"/>
      <c r="C643" s="95"/>
      <c r="D643" s="34"/>
      <c r="E643" s="34"/>
    </row>
    <row r="644" spans="2:5" x14ac:dyDescent="0.6">
      <c r="B644" s="34"/>
      <c r="C644" s="95"/>
      <c r="D644" s="34"/>
      <c r="E644" s="34"/>
    </row>
    <row r="645" spans="2:5" x14ac:dyDescent="0.6">
      <c r="B645" s="34"/>
      <c r="C645" s="95"/>
      <c r="D645" s="34"/>
      <c r="E645" s="34"/>
    </row>
    <row r="646" spans="2:5" x14ac:dyDescent="0.6">
      <c r="B646" s="34"/>
      <c r="C646" s="95"/>
      <c r="D646" s="34"/>
      <c r="E646" s="34"/>
    </row>
    <row r="647" spans="2:5" x14ac:dyDescent="0.6">
      <c r="B647" s="34"/>
      <c r="C647" s="95"/>
      <c r="D647" s="34"/>
      <c r="E647" s="34"/>
    </row>
    <row r="648" spans="2:5" x14ac:dyDescent="0.6">
      <c r="B648" s="34"/>
      <c r="C648" s="95"/>
      <c r="D648" s="34"/>
      <c r="E648" s="34"/>
    </row>
    <row r="649" spans="2:5" x14ac:dyDescent="0.6">
      <c r="B649" s="34"/>
      <c r="C649" s="95"/>
      <c r="D649" s="34"/>
      <c r="E649" s="34"/>
    </row>
    <row r="650" spans="2:5" x14ac:dyDescent="0.6">
      <c r="B650" s="34"/>
      <c r="C650" s="95"/>
      <c r="D650" s="34"/>
      <c r="E650" s="34"/>
    </row>
    <row r="651" spans="2:5" x14ac:dyDescent="0.6">
      <c r="B651" s="34"/>
      <c r="C651" s="95"/>
      <c r="D651" s="34"/>
      <c r="E651" s="34"/>
    </row>
    <row r="652" spans="2:5" x14ac:dyDescent="0.6">
      <c r="B652" s="34"/>
      <c r="C652" s="95"/>
      <c r="D652" s="34"/>
      <c r="E652" s="34"/>
    </row>
    <row r="653" spans="2:5" x14ac:dyDescent="0.6">
      <c r="B653" s="34"/>
      <c r="C653" s="95"/>
      <c r="D653" s="34"/>
      <c r="E653" s="34"/>
    </row>
    <row r="654" spans="2:5" x14ac:dyDescent="0.6">
      <c r="B654" s="34"/>
      <c r="C654" s="95"/>
      <c r="D654" s="34"/>
      <c r="E654" s="34"/>
    </row>
    <row r="655" spans="2:5" x14ac:dyDescent="0.6">
      <c r="B655" s="34"/>
      <c r="C655" s="95"/>
      <c r="D655" s="34"/>
      <c r="E655" s="34"/>
    </row>
    <row r="656" spans="2:5" x14ac:dyDescent="0.6">
      <c r="B656" s="34"/>
      <c r="C656" s="95"/>
      <c r="D656" s="34"/>
      <c r="E656" s="34"/>
    </row>
    <row r="657" spans="2:5" x14ac:dyDescent="0.6">
      <c r="B657" s="34"/>
      <c r="C657" s="95"/>
      <c r="D657" s="34"/>
      <c r="E657" s="34"/>
    </row>
    <row r="658" spans="2:5" x14ac:dyDescent="0.6">
      <c r="B658" s="34"/>
      <c r="C658" s="95"/>
      <c r="D658" s="34"/>
      <c r="E658" s="34"/>
    </row>
    <row r="659" spans="2:5" x14ac:dyDescent="0.6">
      <c r="B659" s="34"/>
      <c r="C659" s="95"/>
      <c r="D659" s="34"/>
      <c r="E659" s="34"/>
    </row>
    <row r="660" spans="2:5" x14ac:dyDescent="0.6">
      <c r="B660" s="34"/>
      <c r="C660" s="95"/>
      <c r="D660" s="34"/>
      <c r="E660" s="34"/>
    </row>
    <row r="661" spans="2:5" x14ac:dyDescent="0.6">
      <c r="B661" s="34"/>
      <c r="C661" s="95"/>
      <c r="D661" s="34"/>
      <c r="E661" s="34"/>
    </row>
    <row r="662" spans="2:5" x14ac:dyDescent="0.6">
      <c r="B662" s="34"/>
      <c r="C662" s="95"/>
      <c r="D662" s="34"/>
      <c r="E662" s="34"/>
    </row>
    <row r="663" spans="2:5" x14ac:dyDescent="0.6">
      <c r="B663" s="34"/>
      <c r="C663" s="95"/>
      <c r="D663" s="34"/>
      <c r="E663" s="34"/>
    </row>
    <row r="664" spans="2:5" x14ac:dyDescent="0.6">
      <c r="B664" s="34"/>
      <c r="C664" s="95"/>
      <c r="D664" s="34"/>
      <c r="E664" s="34"/>
    </row>
    <row r="665" spans="2:5" x14ac:dyDescent="0.6">
      <c r="B665" s="34"/>
      <c r="C665" s="95"/>
      <c r="D665" s="34"/>
      <c r="E665" s="34"/>
    </row>
    <row r="666" spans="2:5" x14ac:dyDescent="0.6">
      <c r="B666" s="34"/>
      <c r="C666" s="95"/>
      <c r="D666" s="34"/>
      <c r="E666" s="34"/>
    </row>
    <row r="667" spans="2:5" x14ac:dyDescent="0.6">
      <c r="B667" s="34"/>
      <c r="C667" s="95"/>
      <c r="D667" s="34"/>
      <c r="E667" s="34"/>
    </row>
    <row r="668" spans="2:5" x14ac:dyDescent="0.6">
      <c r="B668" s="34"/>
      <c r="C668" s="95"/>
      <c r="D668" s="34"/>
      <c r="E668" s="34"/>
    </row>
    <row r="669" spans="2:5" x14ac:dyDescent="0.6">
      <c r="B669" s="34"/>
      <c r="C669" s="95"/>
      <c r="D669" s="34"/>
      <c r="E669" s="34"/>
    </row>
    <row r="670" spans="2:5" x14ac:dyDescent="0.6">
      <c r="B670" s="34"/>
      <c r="C670" s="95"/>
      <c r="D670" s="34"/>
      <c r="E670" s="34"/>
    </row>
    <row r="671" spans="2:5" x14ac:dyDescent="0.6">
      <c r="B671" s="34"/>
      <c r="C671" s="95"/>
      <c r="D671" s="34"/>
      <c r="E671" s="34"/>
    </row>
    <row r="672" spans="2:5" x14ac:dyDescent="0.6">
      <c r="B672" s="34"/>
      <c r="C672" s="95"/>
      <c r="D672" s="34"/>
      <c r="E672" s="34"/>
    </row>
    <row r="673" spans="2:5" x14ac:dyDescent="0.6">
      <c r="B673" s="34"/>
      <c r="C673" s="95"/>
      <c r="D673" s="34"/>
      <c r="E673" s="34"/>
    </row>
    <row r="674" spans="2:5" x14ac:dyDescent="0.6">
      <c r="B674" s="34"/>
      <c r="C674" s="95"/>
      <c r="D674" s="34"/>
      <c r="E674" s="34"/>
    </row>
    <row r="675" spans="2:5" x14ac:dyDescent="0.6">
      <c r="B675" s="34"/>
      <c r="C675" s="95"/>
      <c r="D675" s="34"/>
      <c r="E675" s="34"/>
    </row>
    <row r="676" spans="2:5" x14ac:dyDescent="0.6">
      <c r="B676" s="34"/>
      <c r="C676" s="95"/>
      <c r="D676" s="34"/>
      <c r="E676" s="34"/>
    </row>
    <row r="677" spans="2:5" x14ac:dyDescent="0.6">
      <c r="B677" s="34"/>
      <c r="C677" s="95"/>
      <c r="D677" s="34"/>
      <c r="E677" s="34"/>
    </row>
    <row r="678" spans="2:5" x14ac:dyDescent="0.6">
      <c r="B678" s="34"/>
      <c r="C678" s="95"/>
      <c r="D678" s="34"/>
      <c r="E678" s="34"/>
    </row>
    <row r="679" spans="2:5" x14ac:dyDescent="0.6">
      <c r="B679" s="34"/>
      <c r="C679" s="95"/>
      <c r="D679" s="34"/>
      <c r="E679" s="34"/>
    </row>
    <row r="680" spans="2:5" x14ac:dyDescent="0.6">
      <c r="B680" s="34"/>
      <c r="C680" s="95"/>
      <c r="D680" s="34"/>
      <c r="E680" s="34"/>
    </row>
    <row r="681" spans="2:5" x14ac:dyDescent="0.6">
      <c r="B681" s="34"/>
      <c r="C681" s="95"/>
      <c r="D681" s="34"/>
      <c r="E681" s="34"/>
    </row>
    <row r="682" spans="2:5" x14ac:dyDescent="0.6">
      <c r="B682" s="34"/>
      <c r="C682" s="95"/>
      <c r="D682" s="34"/>
      <c r="E682" s="34"/>
    </row>
    <row r="683" spans="2:5" x14ac:dyDescent="0.6">
      <c r="B683" s="34"/>
      <c r="C683" s="95"/>
      <c r="D683" s="34"/>
      <c r="E683" s="34"/>
    </row>
    <row r="684" spans="2:5" x14ac:dyDescent="0.6">
      <c r="B684" s="34"/>
      <c r="C684" s="95"/>
      <c r="D684" s="34"/>
      <c r="E684" s="34"/>
    </row>
    <row r="685" spans="2:5" x14ac:dyDescent="0.6">
      <c r="B685" s="34"/>
      <c r="C685" s="95"/>
      <c r="D685" s="34"/>
      <c r="E685" s="34"/>
    </row>
    <row r="686" spans="2:5" x14ac:dyDescent="0.6">
      <c r="B686" s="34"/>
      <c r="C686" s="95"/>
      <c r="D686" s="34"/>
      <c r="E686" s="34"/>
    </row>
    <row r="687" spans="2:5" x14ac:dyDescent="0.6">
      <c r="B687" s="34"/>
      <c r="C687" s="95"/>
      <c r="D687" s="34"/>
      <c r="E687" s="34"/>
    </row>
    <row r="688" spans="2:5" x14ac:dyDescent="0.6">
      <c r="B688" s="34"/>
      <c r="C688" s="95"/>
      <c r="D688" s="34"/>
      <c r="E688" s="34"/>
    </row>
    <row r="689" spans="2:5" x14ac:dyDescent="0.6">
      <c r="B689" s="34"/>
      <c r="C689" s="95"/>
      <c r="D689" s="34"/>
      <c r="E689" s="34"/>
    </row>
    <row r="690" spans="2:5" x14ac:dyDescent="0.6">
      <c r="B690" s="34"/>
      <c r="C690" s="95"/>
      <c r="D690" s="34"/>
      <c r="E690" s="34"/>
    </row>
    <row r="691" spans="2:5" x14ac:dyDescent="0.6">
      <c r="B691" s="34"/>
      <c r="C691" s="95"/>
      <c r="D691" s="34"/>
      <c r="E691" s="34"/>
    </row>
    <row r="692" spans="2:5" x14ac:dyDescent="0.6">
      <c r="B692" s="34"/>
      <c r="C692" s="95"/>
      <c r="D692" s="34"/>
      <c r="E692" s="34"/>
    </row>
    <row r="693" spans="2:5" x14ac:dyDescent="0.6">
      <c r="B693" s="34"/>
      <c r="C693" s="95"/>
      <c r="D693" s="34"/>
      <c r="E693" s="34"/>
    </row>
    <row r="694" spans="2:5" x14ac:dyDescent="0.6">
      <c r="B694" s="34"/>
      <c r="C694" s="95"/>
      <c r="D694" s="34"/>
      <c r="E694" s="34"/>
    </row>
    <row r="695" spans="2:5" x14ac:dyDescent="0.6">
      <c r="B695" s="34"/>
      <c r="C695" s="95"/>
      <c r="D695" s="34"/>
      <c r="E695" s="34"/>
    </row>
    <row r="696" spans="2:5" x14ac:dyDescent="0.6">
      <c r="B696" s="34"/>
      <c r="C696" s="95"/>
      <c r="D696" s="34"/>
      <c r="E696" s="34"/>
    </row>
    <row r="697" spans="2:5" x14ac:dyDescent="0.6">
      <c r="B697" s="34"/>
      <c r="C697" s="95"/>
      <c r="D697" s="34"/>
      <c r="E697" s="34"/>
    </row>
    <row r="698" spans="2:5" x14ac:dyDescent="0.6">
      <c r="B698" s="34"/>
      <c r="C698" s="95"/>
      <c r="D698" s="34"/>
      <c r="E698" s="34"/>
    </row>
    <row r="699" spans="2:5" x14ac:dyDescent="0.6">
      <c r="B699" s="34"/>
      <c r="C699" s="95"/>
      <c r="D699" s="34"/>
      <c r="E699" s="34"/>
    </row>
    <row r="700" spans="2:5" x14ac:dyDescent="0.6">
      <c r="B700" s="34"/>
      <c r="C700" s="95"/>
      <c r="D700" s="34"/>
      <c r="E700" s="34"/>
    </row>
    <row r="701" spans="2:5" x14ac:dyDescent="0.6">
      <c r="B701" s="34"/>
      <c r="C701" s="95"/>
      <c r="D701" s="34"/>
      <c r="E701" s="34"/>
    </row>
    <row r="702" spans="2:5" x14ac:dyDescent="0.6">
      <c r="B702" s="34"/>
      <c r="C702" s="95"/>
      <c r="D702" s="34"/>
      <c r="E702" s="34"/>
    </row>
    <row r="703" spans="2:5" x14ac:dyDescent="0.6">
      <c r="B703" s="34"/>
      <c r="C703" s="95"/>
      <c r="D703" s="34"/>
      <c r="E703" s="34"/>
    </row>
    <row r="704" spans="2:5" x14ac:dyDescent="0.6">
      <c r="B704" s="34"/>
      <c r="C704" s="95"/>
      <c r="D704" s="34"/>
      <c r="E704" s="34"/>
    </row>
    <row r="705" spans="2:5" x14ac:dyDescent="0.6">
      <c r="B705" s="34"/>
      <c r="C705" s="95"/>
      <c r="D705" s="34"/>
      <c r="E705" s="34"/>
    </row>
    <row r="706" spans="2:5" x14ac:dyDescent="0.6">
      <c r="B706" s="34"/>
      <c r="C706" s="95"/>
      <c r="D706" s="34"/>
      <c r="E706" s="34"/>
    </row>
    <row r="707" spans="2:5" x14ac:dyDescent="0.6">
      <c r="B707" s="34"/>
      <c r="C707" s="95"/>
      <c r="D707" s="34"/>
      <c r="E707" s="34"/>
    </row>
    <row r="708" spans="2:5" x14ac:dyDescent="0.6">
      <c r="B708" s="34"/>
      <c r="C708" s="95"/>
      <c r="D708" s="34"/>
      <c r="E708" s="34"/>
    </row>
    <row r="709" spans="2:5" x14ac:dyDescent="0.6">
      <c r="B709" s="34"/>
      <c r="C709" s="95"/>
      <c r="D709" s="34"/>
      <c r="E709" s="34"/>
    </row>
    <row r="710" spans="2:5" x14ac:dyDescent="0.6">
      <c r="B710" s="34"/>
      <c r="C710" s="95"/>
      <c r="D710" s="34"/>
      <c r="E710" s="34"/>
    </row>
    <row r="711" spans="2:5" x14ac:dyDescent="0.6">
      <c r="B711" s="34"/>
      <c r="C711" s="95"/>
      <c r="D711" s="34"/>
      <c r="E711" s="34"/>
    </row>
    <row r="712" spans="2:5" x14ac:dyDescent="0.6">
      <c r="B712" s="34"/>
      <c r="C712" s="95"/>
      <c r="D712" s="34"/>
      <c r="E712" s="34"/>
    </row>
    <row r="713" spans="2:5" x14ac:dyDescent="0.6">
      <c r="B713" s="34"/>
      <c r="C713" s="95"/>
      <c r="D713" s="34"/>
      <c r="E713" s="34"/>
    </row>
    <row r="714" spans="2:5" x14ac:dyDescent="0.6">
      <c r="B714" s="34"/>
      <c r="C714" s="95"/>
      <c r="D714" s="34"/>
      <c r="E714" s="34"/>
    </row>
    <row r="715" spans="2:5" x14ac:dyDescent="0.6">
      <c r="B715" s="34"/>
      <c r="C715" s="95"/>
      <c r="D715" s="34"/>
      <c r="E715" s="34"/>
    </row>
    <row r="716" spans="2:5" x14ac:dyDescent="0.6">
      <c r="B716" s="34"/>
      <c r="C716" s="95"/>
      <c r="D716" s="34"/>
      <c r="E716" s="34"/>
    </row>
    <row r="717" spans="2:5" x14ac:dyDescent="0.6">
      <c r="B717" s="34"/>
      <c r="C717" s="95"/>
      <c r="D717" s="34"/>
      <c r="E717" s="34"/>
    </row>
    <row r="718" spans="2:5" x14ac:dyDescent="0.6">
      <c r="B718" s="34"/>
      <c r="C718" s="95"/>
      <c r="D718" s="34"/>
      <c r="E718" s="34"/>
    </row>
    <row r="719" spans="2:5" x14ac:dyDescent="0.6">
      <c r="B719" s="34"/>
      <c r="C719" s="95"/>
      <c r="D719" s="34"/>
      <c r="E719" s="34"/>
    </row>
    <row r="720" spans="2:5" x14ac:dyDescent="0.6">
      <c r="B720" s="34"/>
      <c r="C720" s="95"/>
      <c r="D720" s="34"/>
      <c r="E720" s="34"/>
    </row>
    <row r="721" spans="2:5" x14ac:dyDescent="0.6">
      <c r="B721" s="34"/>
      <c r="C721" s="95"/>
      <c r="D721" s="34"/>
      <c r="E721" s="34"/>
    </row>
    <row r="722" spans="2:5" x14ac:dyDescent="0.6">
      <c r="B722" s="34"/>
      <c r="C722" s="95"/>
      <c r="D722" s="34"/>
      <c r="E722" s="34"/>
    </row>
    <row r="723" spans="2:5" x14ac:dyDescent="0.6">
      <c r="B723" s="34"/>
      <c r="C723" s="95"/>
      <c r="D723" s="34"/>
      <c r="E723" s="34"/>
    </row>
    <row r="724" spans="2:5" x14ac:dyDescent="0.6">
      <c r="B724" s="34"/>
      <c r="C724" s="95"/>
      <c r="D724" s="34"/>
      <c r="E724" s="34"/>
    </row>
    <row r="725" spans="2:5" x14ac:dyDescent="0.6">
      <c r="B725" s="34"/>
      <c r="C725" s="95"/>
      <c r="D725" s="34"/>
      <c r="E725" s="34"/>
    </row>
    <row r="726" spans="2:5" x14ac:dyDescent="0.6">
      <c r="B726" s="34"/>
      <c r="C726" s="95"/>
      <c r="D726" s="34"/>
      <c r="E726" s="34"/>
    </row>
    <row r="727" spans="2:5" x14ac:dyDescent="0.6">
      <c r="B727" s="34"/>
      <c r="C727" s="95"/>
      <c r="D727" s="34"/>
      <c r="E727" s="34"/>
    </row>
    <row r="728" spans="2:5" x14ac:dyDescent="0.6">
      <c r="B728" s="34"/>
      <c r="C728" s="95"/>
      <c r="D728" s="34"/>
      <c r="E728" s="34"/>
    </row>
    <row r="729" spans="2:5" x14ac:dyDescent="0.6">
      <c r="B729" s="34"/>
      <c r="C729" s="95"/>
      <c r="D729" s="34"/>
      <c r="E729" s="34"/>
    </row>
    <row r="730" spans="2:5" x14ac:dyDescent="0.6">
      <c r="B730" s="34"/>
      <c r="C730" s="95"/>
      <c r="D730" s="34"/>
      <c r="E730" s="34"/>
    </row>
    <row r="731" spans="2:5" x14ac:dyDescent="0.6">
      <c r="B731" s="34"/>
      <c r="C731" s="95"/>
      <c r="D731" s="34"/>
      <c r="E731" s="34"/>
    </row>
    <row r="732" spans="2:5" x14ac:dyDescent="0.6">
      <c r="B732" s="34"/>
      <c r="C732" s="95"/>
      <c r="D732" s="34"/>
      <c r="E732" s="34"/>
    </row>
    <row r="733" spans="2:5" x14ac:dyDescent="0.6">
      <c r="B733" s="34"/>
      <c r="C733" s="95"/>
      <c r="D733" s="34"/>
      <c r="E733" s="34"/>
    </row>
    <row r="734" spans="2:5" x14ac:dyDescent="0.6">
      <c r="B734" s="34"/>
      <c r="C734" s="95"/>
      <c r="D734" s="34"/>
      <c r="E734" s="34"/>
    </row>
    <row r="735" spans="2:5" x14ac:dyDescent="0.6">
      <c r="B735" s="34"/>
      <c r="C735" s="95"/>
      <c r="D735" s="34"/>
      <c r="E735" s="34"/>
    </row>
    <row r="736" spans="2:5" x14ac:dyDescent="0.6">
      <c r="B736" s="34"/>
      <c r="C736" s="95"/>
      <c r="D736" s="34"/>
      <c r="E736" s="34"/>
    </row>
    <row r="737" spans="2:5" x14ac:dyDescent="0.6">
      <c r="B737" s="34"/>
      <c r="C737" s="95"/>
      <c r="D737" s="34"/>
      <c r="E737" s="34"/>
    </row>
    <row r="738" spans="2:5" x14ac:dyDescent="0.6">
      <c r="B738" s="34"/>
      <c r="C738" s="95"/>
      <c r="D738" s="34"/>
      <c r="E738" s="34"/>
    </row>
    <row r="739" spans="2:5" x14ac:dyDescent="0.6">
      <c r="B739" s="34"/>
      <c r="C739" s="95"/>
      <c r="D739" s="34"/>
      <c r="E739" s="34"/>
    </row>
    <row r="740" spans="2:5" x14ac:dyDescent="0.6">
      <c r="B740" s="34"/>
      <c r="C740" s="95"/>
      <c r="D740" s="34"/>
      <c r="E740" s="34"/>
    </row>
    <row r="741" spans="2:5" x14ac:dyDescent="0.6">
      <c r="B741" s="34"/>
      <c r="C741" s="95"/>
      <c r="D741" s="34"/>
      <c r="E741" s="34"/>
    </row>
    <row r="742" spans="2:5" x14ac:dyDescent="0.6">
      <c r="B742" s="34"/>
      <c r="C742" s="95"/>
      <c r="D742" s="34"/>
      <c r="E742" s="34"/>
    </row>
    <row r="743" spans="2:5" x14ac:dyDescent="0.6">
      <c r="B743" s="34"/>
      <c r="C743" s="95"/>
      <c r="D743" s="34"/>
      <c r="E743" s="34"/>
    </row>
    <row r="744" spans="2:5" ht="22.5" thickBot="1" x14ac:dyDescent="0.65">
      <c r="B744" s="38"/>
      <c r="C744" s="97"/>
      <c r="D744" s="38"/>
      <c r="E744" s="38"/>
    </row>
  </sheetData>
  <autoFilter ref="B4:E744" xr:uid="{FA2EE97F-7D95-4CC4-9713-021B5E055B6E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6791-320C-4CCB-8BEB-29C753C79362}">
  <sheetPr>
    <tabColor theme="1"/>
  </sheetPr>
  <dimension ref="A1:I19"/>
  <sheetViews>
    <sheetView showGridLines="0" zoomScaleNormal="100" workbookViewId="0">
      <selection activeCell="E18" sqref="E18"/>
    </sheetView>
  </sheetViews>
  <sheetFormatPr baseColWidth="10" defaultColWidth="0" defaultRowHeight="15" zeroHeight="1" x14ac:dyDescent="0.25"/>
  <cols>
    <col min="1" max="1" width="3.7109375" customWidth="1"/>
    <col min="2" max="2" width="21" bestFit="1" customWidth="1"/>
    <col min="3" max="3" width="18.5703125" customWidth="1"/>
    <col min="4" max="4" width="18" customWidth="1"/>
    <col min="5" max="5" width="15.28515625" customWidth="1"/>
    <col min="6" max="6" width="6.42578125" customWidth="1"/>
    <col min="7" max="7" width="2.85546875" customWidth="1"/>
    <col min="8" max="9" width="0" hidden="1" customWidth="1"/>
    <col min="10" max="16384" width="11.42578125" hidden="1"/>
  </cols>
  <sheetData>
    <row r="1" spans="2:5" ht="26.25" customHeight="1" x14ac:dyDescent="0.25">
      <c r="C1" s="117" t="s">
        <v>28</v>
      </c>
      <c r="D1" s="117"/>
    </row>
    <row r="2" spans="2:5" ht="30" customHeight="1" thickBot="1" x14ac:dyDescent="0.3">
      <c r="C2" s="118"/>
      <c r="D2" s="118"/>
    </row>
    <row r="3" spans="2:5" ht="59.25" thickBot="1" x14ac:dyDescent="0.3">
      <c r="B3" s="42" t="s">
        <v>29</v>
      </c>
      <c r="C3" s="16" t="s">
        <v>30</v>
      </c>
      <c r="D3" s="16" t="s">
        <v>31</v>
      </c>
      <c r="E3" s="16" t="s">
        <v>37</v>
      </c>
    </row>
    <row r="4" spans="2:5" ht="19.5" x14ac:dyDescent="0.25">
      <c r="B4" s="30" t="s">
        <v>32</v>
      </c>
      <c r="C4" s="31">
        <v>1100000</v>
      </c>
      <c r="D4" s="32">
        <v>200</v>
      </c>
      <c r="E4" s="33">
        <v>1100000</v>
      </c>
    </row>
    <row r="5" spans="2:5" ht="19.5" x14ac:dyDescent="0.25">
      <c r="B5" s="34" t="s">
        <v>33</v>
      </c>
      <c r="C5" s="35">
        <v>0</v>
      </c>
      <c r="D5" s="36">
        <v>0</v>
      </c>
      <c r="E5" s="37">
        <v>0</v>
      </c>
    </row>
    <row r="6" spans="2:5" ht="19.5" x14ac:dyDescent="0.25">
      <c r="B6" s="34" t="s">
        <v>34</v>
      </c>
      <c r="C6" s="35">
        <v>0</v>
      </c>
      <c r="D6" s="36">
        <v>0</v>
      </c>
      <c r="E6" s="37">
        <v>0</v>
      </c>
    </row>
    <row r="7" spans="2:5" ht="19.5" x14ac:dyDescent="0.25">
      <c r="B7" s="34"/>
      <c r="C7" s="35"/>
      <c r="D7" s="36"/>
      <c r="E7" s="37">
        <f t="shared" ref="E7:E17" si="0">IFERROR(C7/D7,0)</f>
        <v>0</v>
      </c>
    </row>
    <row r="8" spans="2:5" ht="19.5" x14ac:dyDescent="0.25">
      <c r="B8" s="34"/>
      <c r="C8" s="35"/>
      <c r="D8" s="36"/>
      <c r="E8" s="37">
        <f t="shared" si="0"/>
        <v>0</v>
      </c>
    </row>
    <row r="9" spans="2:5" ht="19.5" x14ac:dyDescent="0.25">
      <c r="B9" s="34"/>
      <c r="C9" s="35"/>
      <c r="D9" s="36"/>
      <c r="E9" s="37">
        <f t="shared" si="0"/>
        <v>0</v>
      </c>
    </row>
    <row r="10" spans="2:5" ht="19.5" x14ac:dyDescent="0.25">
      <c r="B10" s="34"/>
      <c r="C10" s="35"/>
      <c r="D10" s="36"/>
      <c r="E10" s="37">
        <f t="shared" si="0"/>
        <v>0</v>
      </c>
    </row>
    <row r="11" spans="2:5" ht="19.5" x14ac:dyDescent="0.25">
      <c r="B11" s="34"/>
      <c r="C11" s="35"/>
      <c r="D11" s="36"/>
      <c r="E11" s="37">
        <f t="shared" si="0"/>
        <v>0</v>
      </c>
    </row>
    <row r="12" spans="2:5" ht="19.5" x14ac:dyDescent="0.25">
      <c r="B12" s="34"/>
      <c r="C12" s="35"/>
      <c r="D12" s="36"/>
      <c r="E12" s="37">
        <f t="shared" si="0"/>
        <v>0</v>
      </c>
    </row>
    <row r="13" spans="2:5" ht="19.5" x14ac:dyDescent="0.25">
      <c r="B13" s="34"/>
      <c r="C13" s="35"/>
      <c r="D13" s="36"/>
      <c r="E13" s="37">
        <f t="shared" si="0"/>
        <v>0</v>
      </c>
    </row>
    <row r="14" spans="2:5" ht="19.5" x14ac:dyDescent="0.25">
      <c r="B14" s="34"/>
      <c r="C14" s="35"/>
      <c r="D14" s="36"/>
      <c r="E14" s="37">
        <f t="shared" si="0"/>
        <v>0</v>
      </c>
    </row>
    <row r="15" spans="2:5" ht="19.5" x14ac:dyDescent="0.25">
      <c r="B15" s="34"/>
      <c r="C15" s="35"/>
      <c r="D15" s="36"/>
      <c r="E15" s="37">
        <f t="shared" si="0"/>
        <v>0</v>
      </c>
    </row>
    <row r="16" spans="2:5" ht="19.5" x14ac:dyDescent="0.25">
      <c r="B16" s="34"/>
      <c r="C16" s="35"/>
      <c r="D16" s="36"/>
      <c r="E16" s="37">
        <f t="shared" si="0"/>
        <v>0</v>
      </c>
    </row>
    <row r="17" spans="2:5" ht="20.25" thickBot="1" x14ac:dyDescent="0.3">
      <c r="B17" s="38"/>
      <c r="C17" s="39"/>
      <c r="D17" s="40"/>
      <c r="E17" s="41">
        <f t="shared" si="0"/>
        <v>0</v>
      </c>
    </row>
    <row r="18" spans="2:5" ht="22.5" thickBot="1" x14ac:dyDescent="0.65">
      <c r="C18" s="93">
        <f>SUM(C4:C17)</f>
        <v>1100000</v>
      </c>
      <c r="D18" s="94">
        <f>SUM(D4:D17)</f>
        <v>200</v>
      </c>
      <c r="E18" s="93">
        <f>SUM(E4:E17)</f>
        <v>1100000</v>
      </c>
    </row>
    <row r="19" spans="2:5" ht="15.75" thickTop="1" x14ac:dyDescent="0.25"/>
  </sheetData>
  <mergeCells count="1">
    <mergeCell ref="C1:D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D0B8-CDB6-46AE-A8E1-4EDC40E6A763}">
  <sheetPr>
    <tabColor theme="1"/>
  </sheetPr>
  <dimension ref="A1:J80"/>
  <sheetViews>
    <sheetView showGridLines="0" workbookViewId="0">
      <selection activeCell="G4" sqref="G4"/>
    </sheetView>
  </sheetViews>
  <sheetFormatPr baseColWidth="10" defaultColWidth="0" defaultRowHeight="15" zeroHeight="1" x14ac:dyDescent="0.25"/>
  <cols>
    <col min="1" max="1" width="2.42578125" customWidth="1"/>
    <col min="2" max="2" width="32.5703125" customWidth="1"/>
    <col min="3" max="3" width="27.7109375" customWidth="1"/>
    <col min="4" max="4" width="22.7109375" bestFit="1" customWidth="1"/>
    <col min="5" max="5" width="4" customWidth="1"/>
    <col min="6" max="6" width="32.140625" customWidth="1"/>
    <col min="7" max="7" width="27.28515625" customWidth="1"/>
    <col min="8" max="8" width="23.42578125" customWidth="1"/>
    <col min="9" max="9" width="23.140625" customWidth="1"/>
    <col min="10" max="10" width="3.140625" customWidth="1"/>
    <col min="11" max="16384" width="11.42578125" hidden="1"/>
  </cols>
  <sheetData>
    <row r="1" spans="1:9" ht="15.75" customHeight="1" thickBot="1" x14ac:dyDescent="0.65">
      <c r="A1" s="3"/>
      <c r="B1" s="3"/>
      <c r="C1" s="3"/>
      <c r="D1" s="3"/>
      <c r="E1" s="3"/>
      <c r="F1" s="3"/>
      <c r="G1" s="3"/>
      <c r="H1" s="3"/>
      <c r="I1" s="3"/>
    </row>
    <row r="2" spans="1:9" ht="44.25" thickBot="1" x14ac:dyDescent="0.65">
      <c r="A2" s="43"/>
      <c r="B2" s="15" t="s">
        <v>41</v>
      </c>
      <c r="C2" s="51" t="s">
        <v>55</v>
      </c>
      <c r="D2" s="52">
        <f>G64</f>
        <v>0</v>
      </c>
      <c r="E2" s="3"/>
      <c r="F2" s="3"/>
      <c r="G2" s="3"/>
      <c r="H2" s="3"/>
      <c r="I2" s="3"/>
    </row>
    <row r="3" spans="1:9" ht="44.25" thickBot="1" x14ac:dyDescent="0.65">
      <c r="A3" s="3"/>
      <c r="B3" s="26" t="s">
        <v>42</v>
      </c>
      <c r="C3" s="7" t="s">
        <v>43</v>
      </c>
      <c r="D3" s="7" t="s">
        <v>44</v>
      </c>
      <c r="E3" s="3"/>
      <c r="F3" s="26" t="s">
        <v>35</v>
      </c>
      <c r="G3" s="7" t="s">
        <v>56</v>
      </c>
      <c r="H3" s="7" t="s">
        <v>45</v>
      </c>
      <c r="I3" s="7" t="s">
        <v>124</v>
      </c>
    </row>
    <row r="4" spans="1:9" ht="21.75" x14ac:dyDescent="0.6">
      <c r="A4" s="3"/>
      <c r="B4" s="17" t="s">
        <v>46</v>
      </c>
      <c r="C4" s="18">
        <v>800000</v>
      </c>
      <c r="D4" s="57" t="str">
        <f>IFERROR(C4/$D$2,"")</f>
        <v/>
      </c>
      <c r="E4" s="3">
        <v>1</v>
      </c>
      <c r="F4" s="23" t="str">
        <f>MENU!B4</f>
        <v>ESPUMITA DE LIMON</v>
      </c>
      <c r="G4" s="44"/>
      <c r="H4" s="112" t="str">
        <f>IFERROR(G4/$D$2,"")</f>
        <v/>
      </c>
      <c r="I4" s="108" t="str">
        <f>IFERROR(H4*$D$67,"")</f>
        <v/>
      </c>
    </row>
    <row r="5" spans="1:9" ht="21.75" x14ac:dyDescent="0.6">
      <c r="A5" s="3"/>
      <c r="B5" s="19" t="s">
        <v>47</v>
      </c>
      <c r="C5" s="20">
        <v>200000</v>
      </c>
      <c r="D5" s="58" t="str">
        <f t="shared" ref="D5:D66" si="0">IFERROR(C5/$D$2,"")</f>
        <v/>
      </c>
      <c r="E5" s="3">
        <v>2</v>
      </c>
      <c r="F5" s="24" t="str">
        <f>MENU!B5</f>
        <v>CARROT CAKE</v>
      </c>
      <c r="G5" s="45"/>
      <c r="H5" s="113" t="str">
        <f>IFERROR(G5/$D$2,"")</f>
        <v/>
      </c>
      <c r="I5" s="109" t="str">
        <f t="shared" ref="I5:I63" si="1">IFERROR(H5*$D$67,"")</f>
        <v/>
      </c>
    </row>
    <row r="6" spans="1:9" ht="21.75" x14ac:dyDescent="0.6">
      <c r="A6" s="3"/>
      <c r="B6" s="19" t="s">
        <v>48</v>
      </c>
      <c r="C6" s="20">
        <v>40000</v>
      </c>
      <c r="D6" s="58" t="str">
        <f t="shared" si="0"/>
        <v/>
      </c>
      <c r="E6" s="3">
        <v>3</v>
      </c>
      <c r="F6" s="24" t="str">
        <f>MENU!B6</f>
        <v>PEPAS INTEGRALES</v>
      </c>
      <c r="G6" s="45"/>
      <c r="H6" s="113" t="str">
        <f t="shared" ref="H6:H63" si="2">IFERROR(G6/$D$2,"")</f>
        <v/>
      </c>
      <c r="I6" s="109" t="str">
        <f t="shared" si="1"/>
        <v/>
      </c>
    </row>
    <row r="7" spans="1:9" ht="21.75" x14ac:dyDescent="0.6">
      <c r="A7" s="3"/>
      <c r="B7" s="19" t="s">
        <v>49</v>
      </c>
      <c r="C7" s="20">
        <v>30000</v>
      </c>
      <c r="D7" s="58" t="str">
        <f t="shared" si="0"/>
        <v/>
      </c>
      <c r="E7" s="3">
        <v>4</v>
      </c>
      <c r="F7" s="24" t="str">
        <f>MENU!B7</f>
        <v>Nombre de la receta 4</v>
      </c>
      <c r="G7" s="45"/>
      <c r="H7" s="113" t="str">
        <f t="shared" si="2"/>
        <v/>
      </c>
      <c r="I7" s="109" t="str">
        <f t="shared" si="1"/>
        <v/>
      </c>
    </row>
    <row r="8" spans="1:9" ht="21.75" x14ac:dyDescent="0.6">
      <c r="A8" s="3"/>
      <c r="B8" s="19" t="s">
        <v>50</v>
      </c>
      <c r="C8" s="20">
        <v>20000</v>
      </c>
      <c r="D8" s="58" t="str">
        <f t="shared" si="0"/>
        <v/>
      </c>
      <c r="E8" s="3">
        <v>5</v>
      </c>
      <c r="F8" s="24" t="str">
        <f>MENU!B8</f>
        <v>Nombre de la receta 5</v>
      </c>
      <c r="G8" s="45"/>
      <c r="H8" s="113" t="str">
        <f t="shared" si="2"/>
        <v/>
      </c>
      <c r="I8" s="109" t="str">
        <f t="shared" si="1"/>
        <v/>
      </c>
    </row>
    <row r="9" spans="1:9" ht="21.75" x14ac:dyDescent="0.6">
      <c r="A9" s="3"/>
      <c r="B9" s="19" t="s">
        <v>51</v>
      </c>
      <c r="C9" s="20">
        <v>30000</v>
      </c>
      <c r="D9" s="58" t="str">
        <f t="shared" si="0"/>
        <v/>
      </c>
      <c r="E9" s="3">
        <v>6</v>
      </c>
      <c r="F9" s="24" t="str">
        <f>MENU!B9</f>
        <v>Nombre de la receta 6</v>
      </c>
      <c r="G9" s="45"/>
      <c r="H9" s="113" t="str">
        <f t="shared" si="2"/>
        <v/>
      </c>
      <c r="I9" s="109" t="str">
        <f t="shared" si="1"/>
        <v/>
      </c>
    </row>
    <row r="10" spans="1:9" ht="21.75" x14ac:dyDescent="0.6">
      <c r="A10" s="3"/>
      <c r="B10" s="19" t="s">
        <v>52</v>
      </c>
      <c r="C10" s="20">
        <v>20000</v>
      </c>
      <c r="D10" s="58" t="str">
        <f t="shared" si="0"/>
        <v/>
      </c>
      <c r="E10" s="3">
        <v>7</v>
      </c>
      <c r="F10" s="24" t="str">
        <f>MENU!B10</f>
        <v>Nombre de la receta 7</v>
      </c>
      <c r="G10" s="45"/>
      <c r="H10" s="113" t="str">
        <f t="shared" si="2"/>
        <v/>
      </c>
      <c r="I10" s="109" t="str">
        <f t="shared" si="1"/>
        <v/>
      </c>
    </row>
    <row r="11" spans="1:9" ht="21.75" x14ac:dyDescent="0.6">
      <c r="A11" s="3"/>
      <c r="B11" s="46" t="s">
        <v>53</v>
      </c>
      <c r="C11" s="47">
        <v>40000</v>
      </c>
      <c r="D11" s="59" t="str">
        <f t="shared" si="0"/>
        <v/>
      </c>
      <c r="E11" s="3">
        <v>8</v>
      </c>
      <c r="F11" s="24" t="str">
        <f>MENU!B11</f>
        <v>Nombre de la receta 8</v>
      </c>
      <c r="G11" s="45"/>
      <c r="H11" s="113" t="str">
        <f t="shared" si="2"/>
        <v/>
      </c>
      <c r="I11" s="109" t="str">
        <f t="shared" si="1"/>
        <v/>
      </c>
    </row>
    <row r="12" spans="1:9" ht="21.75" x14ac:dyDescent="0.6">
      <c r="A12" s="3"/>
      <c r="B12" s="46"/>
      <c r="C12" s="47"/>
      <c r="D12" s="59" t="str">
        <f t="shared" si="0"/>
        <v/>
      </c>
      <c r="E12" s="3">
        <v>9</v>
      </c>
      <c r="F12" s="24" t="str">
        <f>MENU!B12</f>
        <v>Nombre de la receta 9</v>
      </c>
      <c r="G12" s="45"/>
      <c r="H12" s="113" t="str">
        <f t="shared" si="2"/>
        <v/>
      </c>
      <c r="I12" s="109" t="str">
        <f t="shared" si="1"/>
        <v/>
      </c>
    </row>
    <row r="13" spans="1:9" ht="21.75" x14ac:dyDescent="0.6">
      <c r="A13" s="3"/>
      <c r="B13" s="46"/>
      <c r="C13" s="47"/>
      <c r="D13" s="59" t="str">
        <f t="shared" si="0"/>
        <v/>
      </c>
      <c r="E13" s="3">
        <v>10</v>
      </c>
      <c r="F13" s="24" t="str">
        <f>MENU!B13</f>
        <v>Nombre de la receta 10</v>
      </c>
      <c r="G13" s="45"/>
      <c r="H13" s="113" t="str">
        <f t="shared" si="2"/>
        <v/>
      </c>
      <c r="I13" s="109" t="str">
        <f t="shared" si="1"/>
        <v/>
      </c>
    </row>
    <row r="14" spans="1:9" ht="21.75" x14ac:dyDescent="0.6">
      <c r="A14" s="3"/>
      <c r="B14" s="46"/>
      <c r="C14" s="47"/>
      <c r="D14" s="59" t="str">
        <f t="shared" si="0"/>
        <v/>
      </c>
      <c r="E14" s="3">
        <v>11</v>
      </c>
      <c r="F14" s="24" t="str">
        <f>MENU!B14</f>
        <v>Nombre de la receta 11</v>
      </c>
      <c r="G14" s="45"/>
      <c r="H14" s="113" t="str">
        <f t="shared" si="2"/>
        <v/>
      </c>
      <c r="I14" s="109" t="str">
        <f t="shared" si="1"/>
        <v/>
      </c>
    </row>
    <row r="15" spans="1:9" ht="21.75" x14ac:dyDescent="0.6">
      <c r="A15" s="3"/>
      <c r="B15" s="46"/>
      <c r="C15" s="47"/>
      <c r="D15" s="59" t="str">
        <f t="shared" si="0"/>
        <v/>
      </c>
      <c r="E15" s="3">
        <v>12</v>
      </c>
      <c r="F15" s="24" t="str">
        <f>MENU!B15</f>
        <v>Nombre de la receta 12</v>
      </c>
      <c r="G15" s="45"/>
      <c r="H15" s="113" t="str">
        <f t="shared" si="2"/>
        <v/>
      </c>
      <c r="I15" s="109" t="str">
        <f t="shared" si="1"/>
        <v/>
      </c>
    </row>
    <row r="16" spans="1:9" ht="21.75" x14ac:dyDescent="0.6">
      <c r="A16" s="3"/>
      <c r="B16" s="46"/>
      <c r="C16" s="47"/>
      <c r="D16" s="59" t="str">
        <f t="shared" si="0"/>
        <v/>
      </c>
      <c r="E16" s="3">
        <v>13</v>
      </c>
      <c r="F16" s="24" t="str">
        <f>MENU!B16</f>
        <v>Nombre de la receta 13</v>
      </c>
      <c r="G16" s="45"/>
      <c r="H16" s="113" t="str">
        <f t="shared" si="2"/>
        <v/>
      </c>
      <c r="I16" s="109" t="str">
        <f t="shared" si="1"/>
        <v/>
      </c>
    </row>
    <row r="17" spans="1:9" ht="21.75" x14ac:dyDescent="0.6">
      <c r="A17" s="3"/>
      <c r="B17" s="46"/>
      <c r="C17" s="47"/>
      <c r="D17" s="59" t="str">
        <f t="shared" si="0"/>
        <v/>
      </c>
      <c r="E17" s="3">
        <v>14</v>
      </c>
      <c r="F17" s="24" t="str">
        <f>MENU!B17</f>
        <v>Nombre de la receta 14</v>
      </c>
      <c r="G17" s="45"/>
      <c r="H17" s="113" t="str">
        <f t="shared" si="2"/>
        <v/>
      </c>
      <c r="I17" s="109" t="str">
        <f t="shared" si="1"/>
        <v/>
      </c>
    </row>
    <row r="18" spans="1:9" ht="21.75" x14ac:dyDescent="0.6">
      <c r="A18" s="3"/>
      <c r="B18" s="46"/>
      <c r="C18" s="47"/>
      <c r="D18" s="59" t="str">
        <f t="shared" si="0"/>
        <v/>
      </c>
      <c r="E18" s="3">
        <v>15</v>
      </c>
      <c r="F18" s="24" t="str">
        <f>MENU!B18</f>
        <v>Nombre de la receta 15</v>
      </c>
      <c r="G18" s="45"/>
      <c r="H18" s="113" t="str">
        <f t="shared" si="2"/>
        <v/>
      </c>
      <c r="I18" s="109" t="str">
        <f t="shared" si="1"/>
        <v/>
      </c>
    </row>
    <row r="19" spans="1:9" ht="21.75" x14ac:dyDescent="0.6">
      <c r="A19" s="3"/>
      <c r="B19" s="46"/>
      <c r="C19" s="47"/>
      <c r="D19" s="59" t="str">
        <f t="shared" si="0"/>
        <v/>
      </c>
      <c r="E19" s="3">
        <v>16</v>
      </c>
      <c r="F19" s="24" t="str">
        <f>MENU!B19</f>
        <v>Nombre de la receta 16</v>
      </c>
      <c r="G19" s="45"/>
      <c r="H19" s="113" t="str">
        <f t="shared" si="2"/>
        <v/>
      </c>
      <c r="I19" s="109" t="str">
        <f t="shared" si="1"/>
        <v/>
      </c>
    </row>
    <row r="20" spans="1:9" ht="21.75" x14ac:dyDescent="0.6">
      <c r="A20" s="3"/>
      <c r="B20" s="46"/>
      <c r="C20" s="47"/>
      <c r="D20" s="59" t="str">
        <f t="shared" si="0"/>
        <v/>
      </c>
      <c r="E20" s="3">
        <v>17</v>
      </c>
      <c r="F20" s="24" t="str">
        <f>MENU!B20</f>
        <v>Nombre de la receta 17</v>
      </c>
      <c r="G20" s="45"/>
      <c r="H20" s="113" t="str">
        <f t="shared" si="2"/>
        <v/>
      </c>
      <c r="I20" s="109" t="str">
        <f t="shared" si="1"/>
        <v/>
      </c>
    </row>
    <row r="21" spans="1:9" ht="21.75" x14ac:dyDescent="0.6">
      <c r="A21" s="3"/>
      <c r="B21" s="46"/>
      <c r="C21" s="47"/>
      <c r="D21" s="59" t="str">
        <f t="shared" si="0"/>
        <v/>
      </c>
      <c r="E21" s="3">
        <v>18</v>
      </c>
      <c r="F21" s="24" t="str">
        <f>MENU!B21</f>
        <v>Nombre de la receta 18</v>
      </c>
      <c r="G21" s="45"/>
      <c r="H21" s="113" t="str">
        <f t="shared" si="2"/>
        <v/>
      </c>
      <c r="I21" s="109" t="str">
        <f t="shared" si="1"/>
        <v/>
      </c>
    </row>
    <row r="22" spans="1:9" ht="21.75" x14ac:dyDescent="0.6">
      <c r="A22" s="3"/>
      <c r="B22" s="46"/>
      <c r="C22" s="47"/>
      <c r="D22" s="59" t="str">
        <f t="shared" si="0"/>
        <v/>
      </c>
      <c r="E22" s="3">
        <v>19</v>
      </c>
      <c r="F22" s="24" t="str">
        <f>MENU!B22</f>
        <v>Nombre de la receta 19</v>
      </c>
      <c r="G22" s="45"/>
      <c r="H22" s="113" t="str">
        <f t="shared" si="2"/>
        <v/>
      </c>
      <c r="I22" s="109" t="str">
        <f t="shared" si="1"/>
        <v/>
      </c>
    </row>
    <row r="23" spans="1:9" ht="21.75" x14ac:dyDescent="0.6">
      <c r="A23" s="3"/>
      <c r="B23" s="46"/>
      <c r="C23" s="47"/>
      <c r="D23" s="59" t="str">
        <f t="shared" si="0"/>
        <v/>
      </c>
      <c r="E23" s="3">
        <v>20</v>
      </c>
      <c r="F23" s="24" t="str">
        <f>MENU!B23</f>
        <v>Nombre de la receta 20</v>
      </c>
      <c r="G23" s="45"/>
      <c r="H23" s="113" t="str">
        <f t="shared" si="2"/>
        <v/>
      </c>
      <c r="I23" s="109" t="str">
        <f t="shared" si="1"/>
        <v/>
      </c>
    </row>
    <row r="24" spans="1:9" ht="21.75" x14ac:dyDescent="0.6">
      <c r="A24" s="3"/>
      <c r="B24" s="46"/>
      <c r="C24" s="47"/>
      <c r="D24" s="59" t="str">
        <f t="shared" si="0"/>
        <v/>
      </c>
      <c r="E24" s="3">
        <v>21</v>
      </c>
      <c r="F24" s="24" t="str">
        <f>MENU!E4</f>
        <v>Nombre de la receta 21</v>
      </c>
      <c r="G24" s="45"/>
      <c r="H24" s="113" t="str">
        <f t="shared" si="2"/>
        <v/>
      </c>
      <c r="I24" s="109" t="str">
        <f t="shared" si="1"/>
        <v/>
      </c>
    </row>
    <row r="25" spans="1:9" ht="21.75" x14ac:dyDescent="0.6">
      <c r="A25" s="3"/>
      <c r="B25" s="46"/>
      <c r="C25" s="47"/>
      <c r="D25" s="59" t="str">
        <f t="shared" si="0"/>
        <v/>
      </c>
      <c r="E25" s="3">
        <v>22</v>
      </c>
      <c r="F25" s="24" t="str">
        <f>MENU!E5</f>
        <v>Nombre de la receta 22</v>
      </c>
      <c r="G25" s="45"/>
      <c r="H25" s="113" t="str">
        <f t="shared" si="2"/>
        <v/>
      </c>
      <c r="I25" s="109" t="str">
        <f t="shared" si="1"/>
        <v/>
      </c>
    </row>
    <row r="26" spans="1:9" ht="21.75" x14ac:dyDescent="0.6">
      <c r="A26" s="3"/>
      <c r="B26" s="46"/>
      <c r="C26" s="47"/>
      <c r="D26" s="59" t="str">
        <f t="shared" si="0"/>
        <v/>
      </c>
      <c r="E26" s="3">
        <v>23</v>
      </c>
      <c r="F26" s="24" t="str">
        <f>MENU!E6</f>
        <v>Nombre de la receta 23</v>
      </c>
      <c r="G26" s="45"/>
      <c r="H26" s="113" t="str">
        <f t="shared" si="2"/>
        <v/>
      </c>
      <c r="I26" s="109" t="str">
        <f t="shared" si="1"/>
        <v/>
      </c>
    </row>
    <row r="27" spans="1:9" ht="21.75" x14ac:dyDescent="0.6">
      <c r="A27" s="3"/>
      <c r="B27" s="46"/>
      <c r="C27" s="47"/>
      <c r="D27" s="59" t="str">
        <f t="shared" si="0"/>
        <v/>
      </c>
      <c r="E27" s="3">
        <v>24</v>
      </c>
      <c r="F27" s="24" t="str">
        <f>MENU!E7</f>
        <v>Nombre de la receta 24</v>
      </c>
      <c r="G27" s="45"/>
      <c r="H27" s="113" t="str">
        <f t="shared" si="2"/>
        <v/>
      </c>
      <c r="I27" s="109" t="str">
        <f t="shared" si="1"/>
        <v/>
      </c>
    </row>
    <row r="28" spans="1:9" ht="21.75" x14ac:dyDescent="0.6">
      <c r="A28" s="3"/>
      <c r="B28" s="46"/>
      <c r="C28" s="47"/>
      <c r="D28" s="59" t="str">
        <f t="shared" si="0"/>
        <v/>
      </c>
      <c r="E28" s="3">
        <v>25</v>
      </c>
      <c r="F28" s="24" t="str">
        <f>MENU!E8</f>
        <v>Nombre de la receta 25</v>
      </c>
      <c r="G28" s="45"/>
      <c r="H28" s="113" t="str">
        <f t="shared" si="2"/>
        <v/>
      </c>
      <c r="I28" s="109" t="str">
        <f t="shared" si="1"/>
        <v/>
      </c>
    </row>
    <row r="29" spans="1:9" ht="21.75" x14ac:dyDescent="0.6">
      <c r="A29" s="3"/>
      <c r="B29" s="46"/>
      <c r="C29" s="47"/>
      <c r="D29" s="59" t="str">
        <f t="shared" si="0"/>
        <v/>
      </c>
      <c r="E29" s="3">
        <v>26</v>
      </c>
      <c r="F29" s="24" t="str">
        <f>MENU!E9</f>
        <v>Nombre de la receta 26</v>
      </c>
      <c r="G29" s="45"/>
      <c r="H29" s="113" t="str">
        <f t="shared" si="2"/>
        <v/>
      </c>
      <c r="I29" s="109" t="str">
        <f t="shared" si="1"/>
        <v/>
      </c>
    </row>
    <row r="30" spans="1:9" ht="21.75" x14ac:dyDescent="0.6">
      <c r="A30" s="3"/>
      <c r="B30" s="46"/>
      <c r="C30" s="47"/>
      <c r="D30" s="59" t="str">
        <f t="shared" si="0"/>
        <v/>
      </c>
      <c r="E30" s="3">
        <v>27</v>
      </c>
      <c r="F30" s="24" t="str">
        <f>MENU!E10</f>
        <v>Nombre de la receta 27</v>
      </c>
      <c r="G30" s="45"/>
      <c r="H30" s="113" t="str">
        <f t="shared" si="2"/>
        <v/>
      </c>
      <c r="I30" s="109" t="str">
        <f t="shared" si="1"/>
        <v/>
      </c>
    </row>
    <row r="31" spans="1:9" ht="21.75" x14ac:dyDescent="0.6">
      <c r="A31" s="3"/>
      <c r="B31" s="46"/>
      <c r="C31" s="47"/>
      <c r="D31" s="59" t="str">
        <f t="shared" si="0"/>
        <v/>
      </c>
      <c r="E31" s="3">
        <v>28</v>
      </c>
      <c r="F31" s="24" t="str">
        <f>MENU!E11</f>
        <v>Nombre de la receta 28</v>
      </c>
      <c r="G31" s="45"/>
      <c r="H31" s="113" t="str">
        <f t="shared" si="2"/>
        <v/>
      </c>
      <c r="I31" s="109" t="str">
        <f t="shared" si="1"/>
        <v/>
      </c>
    </row>
    <row r="32" spans="1:9" ht="21.75" x14ac:dyDescent="0.6">
      <c r="A32" s="3"/>
      <c r="B32" s="46"/>
      <c r="C32" s="47"/>
      <c r="D32" s="59" t="str">
        <f t="shared" si="0"/>
        <v/>
      </c>
      <c r="E32" s="3">
        <v>29</v>
      </c>
      <c r="F32" s="24" t="str">
        <f>MENU!E12</f>
        <v>Nombre de la receta 29</v>
      </c>
      <c r="G32" s="45"/>
      <c r="H32" s="113" t="str">
        <f t="shared" si="2"/>
        <v/>
      </c>
      <c r="I32" s="109" t="str">
        <f t="shared" si="1"/>
        <v/>
      </c>
    </row>
    <row r="33" spans="1:9" ht="21.75" x14ac:dyDescent="0.6">
      <c r="A33" s="3"/>
      <c r="B33" s="46"/>
      <c r="C33" s="47"/>
      <c r="D33" s="59" t="str">
        <f t="shared" si="0"/>
        <v/>
      </c>
      <c r="E33" s="3">
        <v>30</v>
      </c>
      <c r="F33" s="24" t="str">
        <f>MENU!E13</f>
        <v>Nombre de la receta 30</v>
      </c>
      <c r="G33" s="45"/>
      <c r="H33" s="113" t="str">
        <f t="shared" si="2"/>
        <v/>
      </c>
      <c r="I33" s="109" t="str">
        <f t="shared" si="1"/>
        <v/>
      </c>
    </row>
    <row r="34" spans="1:9" ht="21.75" x14ac:dyDescent="0.6">
      <c r="A34" s="3"/>
      <c r="B34" s="46"/>
      <c r="C34" s="47"/>
      <c r="D34" s="59" t="str">
        <f t="shared" si="0"/>
        <v/>
      </c>
      <c r="E34" s="3">
        <v>31</v>
      </c>
      <c r="F34" s="24" t="str">
        <f>MENU!E14</f>
        <v>Nombre de la receta 31</v>
      </c>
      <c r="G34" s="45"/>
      <c r="H34" s="113" t="str">
        <f t="shared" si="2"/>
        <v/>
      </c>
      <c r="I34" s="109" t="str">
        <f t="shared" si="1"/>
        <v/>
      </c>
    </row>
    <row r="35" spans="1:9" ht="21.75" x14ac:dyDescent="0.6">
      <c r="A35" s="3"/>
      <c r="B35" s="46"/>
      <c r="C35" s="47"/>
      <c r="D35" s="59" t="str">
        <f t="shared" si="0"/>
        <v/>
      </c>
      <c r="E35" s="3">
        <v>32</v>
      </c>
      <c r="F35" s="24" t="str">
        <f>MENU!E15</f>
        <v>Nombre de la receta 32</v>
      </c>
      <c r="G35" s="45"/>
      <c r="H35" s="113" t="str">
        <f t="shared" si="2"/>
        <v/>
      </c>
      <c r="I35" s="109" t="str">
        <f t="shared" si="1"/>
        <v/>
      </c>
    </row>
    <row r="36" spans="1:9" ht="21.75" x14ac:dyDescent="0.6">
      <c r="A36" s="3"/>
      <c r="B36" s="46"/>
      <c r="C36" s="47"/>
      <c r="D36" s="59" t="str">
        <f t="shared" si="0"/>
        <v/>
      </c>
      <c r="E36" s="3">
        <v>33</v>
      </c>
      <c r="F36" s="24" t="str">
        <f>MENU!E16</f>
        <v>Nombre de la receta 33</v>
      </c>
      <c r="G36" s="45"/>
      <c r="H36" s="113" t="str">
        <f t="shared" si="2"/>
        <v/>
      </c>
      <c r="I36" s="109" t="str">
        <f t="shared" si="1"/>
        <v/>
      </c>
    </row>
    <row r="37" spans="1:9" ht="21.75" x14ac:dyDescent="0.6">
      <c r="A37" s="3"/>
      <c r="B37" s="46"/>
      <c r="C37" s="47"/>
      <c r="D37" s="59" t="str">
        <f t="shared" si="0"/>
        <v/>
      </c>
      <c r="E37" s="3">
        <v>34</v>
      </c>
      <c r="F37" s="24" t="str">
        <f>MENU!E17</f>
        <v>Nombre de la receta 34</v>
      </c>
      <c r="G37" s="45"/>
      <c r="H37" s="113" t="str">
        <f t="shared" si="2"/>
        <v/>
      </c>
      <c r="I37" s="109" t="str">
        <f t="shared" si="1"/>
        <v/>
      </c>
    </row>
    <row r="38" spans="1:9" ht="21.75" x14ac:dyDescent="0.6">
      <c r="A38" s="3"/>
      <c r="B38" s="46"/>
      <c r="C38" s="47"/>
      <c r="D38" s="59" t="str">
        <f t="shared" si="0"/>
        <v/>
      </c>
      <c r="E38" s="3">
        <v>35</v>
      </c>
      <c r="F38" s="24" t="str">
        <f>MENU!E18</f>
        <v>Nombre de la receta 35</v>
      </c>
      <c r="G38" s="45"/>
      <c r="H38" s="113" t="str">
        <f t="shared" si="2"/>
        <v/>
      </c>
      <c r="I38" s="109" t="str">
        <f t="shared" si="1"/>
        <v/>
      </c>
    </row>
    <row r="39" spans="1:9" ht="21.75" x14ac:dyDescent="0.6">
      <c r="A39" s="3"/>
      <c r="B39" s="46"/>
      <c r="C39" s="47"/>
      <c r="D39" s="59" t="str">
        <f t="shared" si="0"/>
        <v/>
      </c>
      <c r="E39" s="3">
        <v>36</v>
      </c>
      <c r="F39" s="24" t="str">
        <f>MENU!E19</f>
        <v>Nombre de la receta 36</v>
      </c>
      <c r="G39" s="45"/>
      <c r="H39" s="113" t="str">
        <f t="shared" si="2"/>
        <v/>
      </c>
      <c r="I39" s="109" t="str">
        <f t="shared" si="1"/>
        <v/>
      </c>
    </row>
    <row r="40" spans="1:9" ht="21.75" x14ac:dyDescent="0.6">
      <c r="A40" s="3"/>
      <c r="B40" s="46"/>
      <c r="C40" s="47"/>
      <c r="D40" s="59" t="str">
        <f t="shared" si="0"/>
        <v/>
      </c>
      <c r="E40" s="3">
        <v>37</v>
      </c>
      <c r="F40" s="24" t="str">
        <f>MENU!E20</f>
        <v>Nombre de la receta 37</v>
      </c>
      <c r="G40" s="45"/>
      <c r="H40" s="113" t="str">
        <f t="shared" si="2"/>
        <v/>
      </c>
      <c r="I40" s="109" t="str">
        <f t="shared" si="1"/>
        <v/>
      </c>
    </row>
    <row r="41" spans="1:9" ht="21.75" x14ac:dyDescent="0.6">
      <c r="A41" s="3"/>
      <c r="B41" s="46"/>
      <c r="C41" s="47"/>
      <c r="D41" s="59" t="str">
        <f t="shared" si="0"/>
        <v/>
      </c>
      <c r="E41" s="3">
        <v>38</v>
      </c>
      <c r="F41" s="24" t="str">
        <f>MENU!E21</f>
        <v>Nombre de la receta 38</v>
      </c>
      <c r="G41" s="45"/>
      <c r="H41" s="113" t="str">
        <f t="shared" si="2"/>
        <v/>
      </c>
      <c r="I41" s="109" t="str">
        <f t="shared" si="1"/>
        <v/>
      </c>
    </row>
    <row r="42" spans="1:9" ht="21.75" x14ac:dyDescent="0.6">
      <c r="A42" s="3"/>
      <c r="B42" s="46"/>
      <c r="C42" s="47"/>
      <c r="D42" s="59" t="str">
        <f t="shared" si="0"/>
        <v/>
      </c>
      <c r="E42" s="3">
        <v>39</v>
      </c>
      <c r="F42" s="24" t="str">
        <f>MENU!E22</f>
        <v>Nombre de la receta 39</v>
      </c>
      <c r="G42" s="45"/>
      <c r="H42" s="113" t="str">
        <f t="shared" si="2"/>
        <v/>
      </c>
      <c r="I42" s="109" t="str">
        <f t="shared" si="1"/>
        <v/>
      </c>
    </row>
    <row r="43" spans="1:9" ht="21.75" x14ac:dyDescent="0.6">
      <c r="A43" s="3"/>
      <c r="B43" s="46"/>
      <c r="C43" s="47"/>
      <c r="D43" s="59" t="str">
        <f t="shared" si="0"/>
        <v/>
      </c>
      <c r="E43" s="3">
        <v>40</v>
      </c>
      <c r="F43" s="24" t="str">
        <f>MENU!E23</f>
        <v>Nombre de la receta 40</v>
      </c>
      <c r="G43" s="45"/>
      <c r="H43" s="113" t="str">
        <f t="shared" si="2"/>
        <v/>
      </c>
      <c r="I43" s="109" t="str">
        <f t="shared" si="1"/>
        <v/>
      </c>
    </row>
    <row r="44" spans="1:9" ht="21.75" x14ac:dyDescent="0.6">
      <c r="A44" s="3"/>
      <c r="B44" s="46"/>
      <c r="C44" s="47"/>
      <c r="D44" s="59" t="str">
        <f t="shared" si="0"/>
        <v/>
      </c>
      <c r="E44" s="3">
        <v>41</v>
      </c>
      <c r="F44" s="24" t="str">
        <f>MENU!H4</f>
        <v>Nombre de la receta 41</v>
      </c>
      <c r="G44" s="45"/>
      <c r="H44" s="113" t="str">
        <f t="shared" si="2"/>
        <v/>
      </c>
      <c r="I44" s="109" t="str">
        <f t="shared" si="1"/>
        <v/>
      </c>
    </row>
    <row r="45" spans="1:9" ht="21.75" x14ac:dyDescent="0.6">
      <c r="A45" s="3"/>
      <c r="B45" s="46"/>
      <c r="C45" s="47"/>
      <c r="D45" s="59" t="str">
        <f t="shared" si="0"/>
        <v/>
      </c>
      <c r="E45" s="3">
        <v>42</v>
      </c>
      <c r="F45" s="24" t="str">
        <f>MENU!H5</f>
        <v>Nombre de la receta 42</v>
      </c>
      <c r="G45" s="45"/>
      <c r="H45" s="113" t="str">
        <f t="shared" si="2"/>
        <v/>
      </c>
      <c r="I45" s="109" t="str">
        <f t="shared" si="1"/>
        <v/>
      </c>
    </row>
    <row r="46" spans="1:9" ht="21.75" x14ac:dyDescent="0.6">
      <c r="A46" s="3"/>
      <c r="B46" s="46"/>
      <c r="C46" s="47"/>
      <c r="D46" s="59" t="str">
        <f t="shared" si="0"/>
        <v/>
      </c>
      <c r="E46" s="3">
        <v>43</v>
      </c>
      <c r="F46" s="24" t="str">
        <f>MENU!H6</f>
        <v>Nombre de la receta 43</v>
      </c>
      <c r="G46" s="45"/>
      <c r="H46" s="113" t="str">
        <f t="shared" si="2"/>
        <v/>
      </c>
      <c r="I46" s="109" t="str">
        <f t="shared" si="1"/>
        <v/>
      </c>
    </row>
    <row r="47" spans="1:9" ht="21.75" x14ac:dyDescent="0.6">
      <c r="A47" s="3"/>
      <c r="B47" s="46"/>
      <c r="C47" s="47"/>
      <c r="D47" s="59" t="str">
        <f t="shared" si="0"/>
        <v/>
      </c>
      <c r="E47" s="3">
        <v>44</v>
      </c>
      <c r="F47" s="24" t="str">
        <f>MENU!H7</f>
        <v>Nombre de la receta 44</v>
      </c>
      <c r="G47" s="45"/>
      <c r="H47" s="113" t="str">
        <f t="shared" si="2"/>
        <v/>
      </c>
      <c r="I47" s="109" t="str">
        <f t="shared" si="1"/>
        <v/>
      </c>
    </row>
    <row r="48" spans="1:9" ht="21.75" x14ac:dyDescent="0.6">
      <c r="A48" s="3"/>
      <c r="B48" s="46"/>
      <c r="C48" s="47"/>
      <c r="D48" s="59" t="str">
        <f t="shared" si="0"/>
        <v/>
      </c>
      <c r="E48" s="3">
        <v>45</v>
      </c>
      <c r="F48" s="24" t="str">
        <f>MENU!H8</f>
        <v>Nombre de la receta 45</v>
      </c>
      <c r="G48" s="45"/>
      <c r="H48" s="113" t="str">
        <f t="shared" si="2"/>
        <v/>
      </c>
      <c r="I48" s="109" t="str">
        <f t="shared" si="1"/>
        <v/>
      </c>
    </row>
    <row r="49" spans="1:9" ht="21.75" x14ac:dyDescent="0.6">
      <c r="A49" s="3"/>
      <c r="B49" s="46"/>
      <c r="C49" s="47"/>
      <c r="D49" s="59" t="str">
        <f t="shared" si="0"/>
        <v/>
      </c>
      <c r="E49" s="3">
        <v>46</v>
      </c>
      <c r="F49" s="24" t="str">
        <f>MENU!H9</f>
        <v>Nombre de la receta 46</v>
      </c>
      <c r="G49" s="45"/>
      <c r="H49" s="113" t="str">
        <f t="shared" si="2"/>
        <v/>
      </c>
      <c r="I49" s="109" t="str">
        <f t="shared" si="1"/>
        <v/>
      </c>
    </row>
    <row r="50" spans="1:9" ht="21.75" x14ac:dyDescent="0.6">
      <c r="A50" s="3"/>
      <c r="B50" s="46"/>
      <c r="C50" s="47"/>
      <c r="D50" s="59" t="str">
        <f t="shared" si="0"/>
        <v/>
      </c>
      <c r="E50" s="3">
        <v>47</v>
      </c>
      <c r="F50" s="24" t="str">
        <f>MENU!H10</f>
        <v>Nombre de la receta 47</v>
      </c>
      <c r="G50" s="45"/>
      <c r="H50" s="113" t="str">
        <f t="shared" si="2"/>
        <v/>
      </c>
      <c r="I50" s="109" t="str">
        <f t="shared" si="1"/>
        <v/>
      </c>
    </row>
    <row r="51" spans="1:9" ht="21.75" x14ac:dyDescent="0.6">
      <c r="A51" s="3"/>
      <c r="B51" s="46"/>
      <c r="C51" s="47"/>
      <c r="D51" s="59" t="str">
        <f t="shared" si="0"/>
        <v/>
      </c>
      <c r="E51" s="3">
        <v>48</v>
      </c>
      <c r="F51" s="24" t="str">
        <f>MENU!H11</f>
        <v>Nombre de la receta 48</v>
      </c>
      <c r="G51" s="45"/>
      <c r="H51" s="113" t="str">
        <f t="shared" si="2"/>
        <v/>
      </c>
      <c r="I51" s="109" t="str">
        <f t="shared" si="1"/>
        <v/>
      </c>
    </row>
    <row r="52" spans="1:9" ht="21.75" x14ac:dyDescent="0.6">
      <c r="A52" s="3"/>
      <c r="B52" s="46"/>
      <c r="C52" s="47"/>
      <c r="D52" s="59" t="str">
        <f t="shared" si="0"/>
        <v/>
      </c>
      <c r="E52" s="3">
        <v>49</v>
      </c>
      <c r="F52" s="24" t="str">
        <f>MENU!H12</f>
        <v>Nombre de la receta 49</v>
      </c>
      <c r="G52" s="45"/>
      <c r="H52" s="113" t="str">
        <f t="shared" si="2"/>
        <v/>
      </c>
      <c r="I52" s="109" t="str">
        <f t="shared" si="1"/>
        <v/>
      </c>
    </row>
    <row r="53" spans="1:9" ht="21.75" x14ac:dyDescent="0.6">
      <c r="A53" s="3"/>
      <c r="B53" s="46"/>
      <c r="C53" s="47"/>
      <c r="D53" s="59" t="str">
        <f t="shared" si="0"/>
        <v/>
      </c>
      <c r="E53" s="3">
        <v>50</v>
      </c>
      <c r="F53" s="24" t="str">
        <f>MENU!H13</f>
        <v>Nombre de la receta 50</v>
      </c>
      <c r="G53" s="45"/>
      <c r="H53" s="113" t="str">
        <f t="shared" si="2"/>
        <v/>
      </c>
      <c r="I53" s="109" t="str">
        <f t="shared" si="1"/>
        <v/>
      </c>
    </row>
    <row r="54" spans="1:9" ht="21.75" x14ac:dyDescent="0.6">
      <c r="A54" s="3"/>
      <c r="B54" s="46"/>
      <c r="C54" s="47"/>
      <c r="D54" s="59" t="str">
        <f t="shared" si="0"/>
        <v/>
      </c>
      <c r="E54" s="3">
        <v>51</v>
      </c>
      <c r="F54" s="24" t="str">
        <f>MENU!H14</f>
        <v>Nombre de la receta 51</v>
      </c>
      <c r="G54" s="45"/>
      <c r="H54" s="113" t="str">
        <f t="shared" si="2"/>
        <v/>
      </c>
      <c r="I54" s="109" t="str">
        <f t="shared" si="1"/>
        <v/>
      </c>
    </row>
    <row r="55" spans="1:9" ht="21.75" x14ac:dyDescent="0.6">
      <c r="A55" s="3"/>
      <c r="B55" s="46"/>
      <c r="C55" s="47"/>
      <c r="D55" s="59" t="str">
        <f t="shared" si="0"/>
        <v/>
      </c>
      <c r="E55" s="3">
        <v>52</v>
      </c>
      <c r="F55" s="24" t="str">
        <f>MENU!H15</f>
        <v>Nombre de la receta 52</v>
      </c>
      <c r="G55" s="45"/>
      <c r="H55" s="113" t="str">
        <f t="shared" si="2"/>
        <v/>
      </c>
      <c r="I55" s="109" t="str">
        <f t="shared" si="1"/>
        <v/>
      </c>
    </row>
    <row r="56" spans="1:9" ht="21.75" x14ac:dyDescent="0.6">
      <c r="A56" s="3"/>
      <c r="B56" s="46"/>
      <c r="C56" s="47"/>
      <c r="D56" s="59" t="str">
        <f t="shared" si="0"/>
        <v/>
      </c>
      <c r="E56" s="3">
        <v>53</v>
      </c>
      <c r="F56" s="24" t="str">
        <f>MENU!H16</f>
        <v>Nombre de la receta 53</v>
      </c>
      <c r="G56" s="45"/>
      <c r="H56" s="113" t="str">
        <f t="shared" si="2"/>
        <v/>
      </c>
      <c r="I56" s="109" t="str">
        <f t="shared" si="1"/>
        <v/>
      </c>
    </row>
    <row r="57" spans="1:9" ht="21.75" x14ac:dyDescent="0.6">
      <c r="A57" s="3"/>
      <c r="B57" s="46"/>
      <c r="C57" s="47"/>
      <c r="D57" s="59" t="str">
        <f t="shared" si="0"/>
        <v/>
      </c>
      <c r="E57" s="3">
        <v>54</v>
      </c>
      <c r="F57" s="24" t="str">
        <f>MENU!H17</f>
        <v>Nombre de la receta 54</v>
      </c>
      <c r="G57" s="45"/>
      <c r="H57" s="113" t="str">
        <f t="shared" si="2"/>
        <v/>
      </c>
      <c r="I57" s="109" t="str">
        <f t="shared" si="1"/>
        <v/>
      </c>
    </row>
    <row r="58" spans="1:9" ht="21.75" x14ac:dyDescent="0.6">
      <c r="A58" s="3"/>
      <c r="B58" s="46"/>
      <c r="C58" s="47"/>
      <c r="D58" s="59" t="str">
        <f t="shared" si="0"/>
        <v/>
      </c>
      <c r="E58" s="3">
        <v>55</v>
      </c>
      <c r="F58" s="24" t="str">
        <f>MENU!H18</f>
        <v>Nombre de la receta 55</v>
      </c>
      <c r="G58" s="45"/>
      <c r="H58" s="113" t="str">
        <f t="shared" si="2"/>
        <v/>
      </c>
      <c r="I58" s="109" t="str">
        <f t="shared" si="1"/>
        <v/>
      </c>
    </row>
    <row r="59" spans="1:9" ht="21.75" x14ac:dyDescent="0.6">
      <c r="A59" s="3"/>
      <c r="B59" s="46"/>
      <c r="C59" s="47"/>
      <c r="D59" s="59" t="str">
        <f t="shared" si="0"/>
        <v/>
      </c>
      <c r="E59" s="3">
        <v>56</v>
      </c>
      <c r="F59" s="24" t="str">
        <f>MENU!H19</f>
        <v>Nombre de la receta 56</v>
      </c>
      <c r="G59" s="45"/>
      <c r="H59" s="113" t="str">
        <f t="shared" si="2"/>
        <v/>
      </c>
      <c r="I59" s="109" t="str">
        <f t="shared" si="1"/>
        <v/>
      </c>
    </row>
    <row r="60" spans="1:9" ht="21.75" x14ac:dyDescent="0.6">
      <c r="A60" s="3"/>
      <c r="B60" s="46"/>
      <c r="C60" s="47"/>
      <c r="D60" s="59" t="str">
        <f t="shared" si="0"/>
        <v/>
      </c>
      <c r="E60" s="3">
        <v>57</v>
      </c>
      <c r="F60" s="24" t="str">
        <f>MENU!H20</f>
        <v>Nombre de la receta 57</v>
      </c>
      <c r="G60" s="45"/>
      <c r="H60" s="113" t="str">
        <f t="shared" si="2"/>
        <v/>
      </c>
      <c r="I60" s="109" t="str">
        <f t="shared" si="1"/>
        <v/>
      </c>
    </row>
    <row r="61" spans="1:9" ht="21.75" x14ac:dyDescent="0.6">
      <c r="A61" s="3"/>
      <c r="B61" s="46"/>
      <c r="C61" s="47"/>
      <c r="D61" s="59" t="str">
        <f t="shared" si="0"/>
        <v/>
      </c>
      <c r="E61" s="3">
        <v>58</v>
      </c>
      <c r="F61" s="24" t="str">
        <f>MENU!H21</f>
        <v>Nombre de la receta 58</v>
      </c>
      <c r="G61" s="45"/>
      <c r="H61" s="113" t="str">
        <f t="shared" si="2"/>
        <v/>
      </c>
      <c r="I61" s="109" t="str">
        <f t="shared" si="1"/>
        <v/>
      </c>
    </row>
    <row r="62" spans="1:9" ht="21.75" x14ac:dyDescent="0.6">
      <c r="A62" s="3"/>
      <c r="B62" s="46"/>
      <c r="C62" s="47"/>
      <c r="D62" s="59" t="str">
        <f t="shared" si="0"/>
        <v/>
      </c>
      <c r="E62" s="3">
        <v>59</v>
      </c>
      <c r="F62" s="24" t="str">
        <f>MENU!H22</f>
        <v>Nombre de la receta 59</v>
      </c>
      <c r="G62" s="45"/>
      <c r="H62" s="113" t="str">
        <f t="shared" si="2"/>
        <v/>
      </c>
      <c r="I62" s="109" t="str">
        <f t="shared" si="1"/>
        <v/>
      </c>
    </row>
    <row r="63" spans="1:9" ht="22.5" thickBot="1" x14ac:dyDescent="0.65">
      <c r="A63" s="3"/>
      <c r="B63" s="46"/>
      <c r="C63" s="47"/>
      <c r="D63" s="59" t="str">
        <f t="shared" si="0"/>
        <v/>
      </c>
      <c r="E63" s="3">
        <v>60</v>
      </c>
      <c r="F63" s="25" t="str">
        <f>MENU!H23</f>
        <v>Nombre de la receta 60</v>
      </c>
      <c r="G63" s="48"/>
      <c r="H63" s="114" t="str">
        <f t="shared" si="2"/>
        <v/>
      </c>
      <c r="I63" s="110" t="str">
        <f t="shared" si="1"/>
        <v/>
      </c>
    </row>
    <row r="64" spans="1:9" ht="22.5" thickBot="1" x14ac:dyDescent="0.65">
      <c r="A64" s="3"/>
      <c r="B64" s="46"/>
      <c r="C64" s="47"/>
      <c r="D64" s="59" t="str">
        <f t="shared" si="0"/>
        <v/>
      </c>
      <c r="E64" s="3"/>
      <c r="F64" s="3"/>
      <c r="G64" s="53">
        <f>SUM(G4:G63)</f>
        <v>0</v>
      </c>
      <c r="H64" s="54">
        <f>SUM(H4:H63)</f>
        <v>0</v>
      </c>
      <c r="I64" s="55">
        <f>SUM(I4:I63)</f>
        <v>0</v>
      </c>
    </row>
    <row r="65" spans="1:9" ht="22.5" thickBot="1" x14ac:dyDescent="0.65">
      <c r="A65" s="3"/>
      <c r="B65" s="46"/>
      <c r="C65" s="47"/>
      <c r="D65" s="59" t="str">
        <f t="shared" si="0"/>
        <v/>
      </c>
      <c r="E65" s="3"/>
      <c r="F65" s="3"/>
      <c r="G65" s="7" t="s">
        <v>54</v>
      </c>
      <c r="H65" s="49" t="b">
        <f>H64=100%</f>
        <v>0</v>
      </c>
      <c r="I65" s="56">
        <f>I64-D67</f>
        <v>0</v>
      </c>
    </row>
    <row r="66" spans="1:9" ht="22.5" thickBot="1" x14ac:dyDescent="0.65">
      <c r="A66" s="3"/>
      <c r="B66" s="21"/>
      <c r="C66" s="22"/>
      <c r="D66" s="60" t="str">
        <f t="shared" si="0"/>
        <v/>
      </c>
      <c r="E66" s="3"/>
      <c r="F66" s="3"/>
      <c r="G66" s="3"/>
      <c r="H66" s="3"/>
      <c r="I66" s="3"/>
    </row>
    <row r="67" spans="1:9" ht="22.5" thickBot="1" x14ac:dyDescent="0.65">
      <c r="A67" s="3"/>
      <c r="B67" s="3"/>
      <c r="C67" s="93">
        <f>SUM(C4:C66)</f>
        <v>1180000</v>
      </c>
      <c r="D67" s="111">
        <f>SUM(D4:D66)</f>
        <v>0</v>
      </c>
      <c r="E67" s="3"/>
      <c r="F67" s="50"/>
      <c r="G67" s="3"/>
      <c r="H67" s="3"/>
      <c r="I67" s="3"/>
    </row>
    <row r="68" spans="1:9" ht="22.5" thickTop="1" x14ac:dyDescent="0.6">
      <c r="E68" s="3"/>
    </row>
    <row r="69" spans="1:9" ht="21.75" hidden="1" x14ac:dyDescent="0.6">
      <c r="E69" s="3"/>
    </row>
    <row r="70" spans="1:9" ht="21.75" hidden="1" x14ac:dyDescent="0.6">
      <c r="E70" s="3"/>
    </row>
    <row r="71" spans="1:9" ht="21.75" hidden="1" x14ac:dyDescent="0.6">
      <c r="E71" s="3"/>
    </row>
    <row r="72" spans="1:9" ht="21.75" hidden="1" x14ac:dyDescent="0.6">
      <c r="E72" s="3"/>
    </row>
    <row r="73" spans="1:9" ht="21.75" hidden="1" x14ac:dyDescent="0.6">
      <c r="E73" s="3"/>
    </row>
    <row r="74" spans="1:9" ht="21.75" hidden="1" x14ac:dyDescent="0.6">
      <c r="E74" s="3"/>
    </row>
    <row r="75" spans="1:9" ht="21.75" hidden="1" x14ac:dyDescent="0.6">
      <c r="E75" s="3"/>
    </row>
    <row r="76" spans="1:9" ht="21.75" hidden="1" x14ac:dyDescent="0.6">
      <c r="E76" s="3"/>
    </row>
    <row r="77" spans="1:9" ht="21.75" hidden="1" x14ac:dyDescent="0.6">
      <c r="E77" s="3"/>
    </row>
    <row r="78" spans="1:9" ht="21.75" hidden="1" x14ac:dyDescent="0.6">
      <c r="E78" s="3"/>
    </row>
    <row r="79" spans="1:9" ht="21.75" hidden="1" x14ac:dyDescent="0.6">
      <c r="E79" s="3"/>
    </row>
    <row r="80" spans="1:9" ht="21.75" hidden="1" x14ac:dyDescent="0.6">
      <c r="E80" s="3"/>
    </row>
  </sheetData>
  <conditionalFormatting sqref="H65">
    <cfRule type="containsText" dxfId="1" priority="1" operator="containsText" text="FALSO">
      <formula>NOT(ISERROR(SEARCH("FALSO",H65)))</formula>
    </cfRule>
    <cfRule type="containsText" dxfId="0" priority="2" operator="containsText" text="VERDADERO">
      <formula>NOT(ISERROR(SEARCH("VERDADERO",H65)))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AC26-0AF4-41BE-803B-C3EEFE8143C6}">
  <sheetPr>
    <tabColor rgb="FFFFFF00"/>
  </sheetPr>
  <dimension ref="A1:L82"/>
  <sheetViews>
    <sheetView showGridLines="0" zoomScale="90" zoomScaleNormal="90" workbookViewId="0">
      <selection activeCell="I9" sqref="I9"/>
    </sheetView>
  </sheetViews>
  <sheetFormatPr baseColWidth="10" defaultColWidth="0" defaultRowHeight="21.75" zeroHeight="1" x14ac:dyDescent="0.6"/>
  <cols>
    <col min="1" max="1" width="4" style="3" customWidth="1"/>
    <col min="2" max="2" width="26.85546875" style="3" customWidth="1"/>
    <col min="3" max="3" width="13.42578125" style="3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7.140625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MENU!B4</f>
        <v>ESPUMITA DE LIMON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 t="s">
        <v>127</v>
      </c>
      <c r="C6" s="12">
        <v>0.12</v>
      </c>
      <c r="D6" s="9" t="str">
        <f>IFERROR(VLOOKUP(B6,Ingredientes!$B:$D,3,FALSE),0)</f>
        <v>KG</v>
      </c>
      <c r="E6" s="72">
        <f>IFERROR(VLOOKUP(B6,Ingredientes!$B:$C,2,FALSE),0)</f>
        <v>10066.200000000001</v>
      </c>
      <c r="F6" s="73">
        <f>C6*E6</f>
        <v>1207.944</v>
      </c>
      <c r="H6" s="77" t="s">
        <v>66</v>
      </c>
      <c r="I6" s="80">
        <f>F31</f>
        <v>6520.0439999999999</v>
      </c>
      <c r="J6" s="78"/>
    </row>
    <row r="7" spans="2:12" ht="22.5" thickBot="1" x14ac:dyDescent="0.65">
      <c r="B7" s="11" t="s">
        <v>12</v>
      </c>
      <c r="C7" s="12">
        <v>0.13</v>
      </c>
      <c r="D7" s="9" t="str">
        <f>IFERROR(VLOOKUP(B7,Ingredientes!$B:$D,3,FALSE),0)</f>
        <v>KG</v>
      </c>
      <c r="E7" s="72">
        <f>IFERROR(VLOOKUP(B7,Ingredientes!$B:$C,2,FALSE),0)</f>
        <v>1132</v>
      </c>
      <c r="F7" s="73">
        <f t="shared" ref="F7:F30" si="0">C7*E7</f>
        <v>147.16</v>
      </c>
      <c r="H7" s="67" t="s">
        <v>60</v>
      </c>
      <c r="I7" s="81">
        <v>6000</v>
      </c>
      <c r="J7" s="68"/>
    </row>
    <row r="8" spans="2:12" ht="22.5" thickBot="1" x14ac:dyDescent="0.65">
      <c r="B8" s="11" t="s">
        <v>131</v>
      </c>
      <c r="C8" s="12">
        <v>0.13</v>
      </c>
      <c r="D8" s="9" t="str">
        <f>IFERROR(VLOOKUP(B8,Ingredientes!$B:$D,3,FALSE),0)</f>
        <v>KG</v>
      </c>
      <c r="E8" s="72">
        <f>IFERROR(VLOOKUP(B8,Ingredientes!$B:$C,2,FALSE),0)</f>
        <v>1318</v>
      </c>
      <c r="F8" s="73">
        <f t="shared" si="0"/>
        <v>171.34</v>
      </c>
      <c r="H8" s="67" t="s">
        <v>61</v>
      </c>
      <c r="I8" s="81">
        <v>4382</v>
      </c>
      <c r="J8" s="68"/>
    </row>
    <row r="9" spans="2:12" ht="22.5" thickBot="1" x14ac:dyDescent="0.65">
      <c r="B9" s="11" t="s">
        <v>10</v>
      </c>
      <c r="C9" s="12">
        <v>2</v>
      </c>
      <c r="D9" s="9" t="str">
        <f>IFERROR(VLOOKUP(B9,Ingredientes!$B:$D,3,FALSE),0)</f>
        <v>KG</v>
      </c>
      <c r="E9" s="72">
        <f>IFERROR(VLOOKUP(B9,Ingredientes!$B:$C,2,FALSE),0)</f>
        <v>150</v>
      </c>
      <c r="F9" s="73">
        <f t="shared" si="0"/>
        <v>300</v>
      </c>
      <c r="H9" s="67" t="s">
        <v>62</v>
      </c>
      <c r="I9" s="82">
        <f>SUM($I$6:$I$8)</f>
        <v>16902.044000000002</v>
      </c>
      <c r="J9" s="68"/>
    </row>
    <row r="10" spans="2:12" ht="22.5" thickBot="1" x14ac:dyDescent="0.65">
      <c r="B10" s="11" t="s">
        <v>152</v>
      </c>
      <c r="C10" s="12">
        <v>2</v>
      </c>
      <c r="D10" s="9">
        <f>IFERROR(VLOOKUP(B10,Ingredientes!$B:$D,3,FALSE),0)</f>
        <v>0</v>
      </c>
      <c r="E10" s="72">
        <f>IFERROR(VLOOKUP(B10,Ingredientes!$B:$C,2,FALSE),0)</f>
        <v>344</v>
      </c>
      <c r="F10" s="73">
        <f t="shared" si="0"/>
        <v>688</v>
      </c>
      <c r="H10" s="67"/>
      <c r="I10" s="69"/>
      <c r="J10" s="68"/>
    </row>
    <row r="11" spans="2:12" ht="22.5" thickBot="1" x14ac:dyDescent="0.65">
      <c r="B11" s="11" t="s">
        <v>149</v>
      </c>
      <c r="C11" s="12">
        <v>0.25</v>
      </c>
      <c r="D11" s="9">
        <f>IFERROR(VLOOKUP(B11,Ingredientes!$B:$D,3,FALSE),0)</f>
        <v>0</v>
      </c>
      <c r="E11" s="72">
        <f>IFERROR(VLOOKUP(B11,Ingredientes!$B:$C,2,FALSE),0)</f>
        <v>16022.4</v>
      </c>
      <c r="F11" s="73">
        <f t="shared" si="0"/>
        <v>4005.6</v>
      </c>
      <c r="H11" s="67" t="s">
        <v>63</v>
      </c>
      <c r="I11" s="104">
        <v>2000000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ref="F12:F16" si="1">C12*E12</f>
        <v>0</v>
      </c>
      <c r="H12" s="67" t="s">
        <v>64</v>
      </c>
      <c r="I12" s="83">
        <f>I11-I9</f>
        <v>1983097.956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1"/>
        <v>0</v>
      </c>
      <c r="H13" s="67" t="s">
        <v>64</v>
      </c>
      <c r="I13" s="84">
        <f>I12/I11</f>
        <v>0.99154897799999997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1"/>
        <v>0</v>
      </c>
      <c r="H14" s="67" t="s">
        <v>65</v>
      </c>
      <c r="I14" s="103">
        <f>CIF!C67/(I11-I6-I7)</f>
        <v>0.59371667947528217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1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1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ref="F19:F20" si="2">C19*E19</f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2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ref="F21:F23" si="3">C21*E21</f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3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3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4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6520.0439999999999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H32:I32"/>
    <mergeCell ref="H5:J5"/>
    <mergeCell ref="B2:F2"/>
    <mergeCell ref="B4:F4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20A64F-226C-4990-A17F-50646D3CAB99}">
          <x14:formula1>
            <xm:f>Ingredientes!$B$5:$B$769</xm:f>
          </x14:formula1>
          <xm:sqref>B6:B30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FCDC-F0EF-4760-88A3-E9A7D17125A7}">
  <sheetPr>
    <tabColor rgb="FFFFFF00"/>
  </sheetPr>
  <dimension ref="A1:L82"/>
  <sheetViews>
    <sheetView showGridLines="0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MENU!B5</f>
        <v>CARROT CAKE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 t="s">
        <v>161</v>
      </c>
      <c r="C6" s="12">
        <v>2.5000000000000001E-2</v>
      </c>
      <c r="D6" s="9"/>
      <c r="E6" s="72">
        <f>IFERROR(VLOOKUP(B6,Ingredientes!$B:$C,2,FALSE),0)</f>
        <v>23500</v>
      </c>
      <c r="F6" s="73">
        <f>C6*E6</f>
        <v>587.5</v>
      </c>
      <c r="H6" s="77" t="s">
        <v>66</v>
      </c>
      <c r="I6" s="80">
        <f>F31</f>
        <v>10101.439999999999</v>
      </c>
      <c r="J6" s="78"/>
    </row>
    <row r="7" spans="2:12" ht="22.5" thickBot="1" x14ac:dyDescent="0.65">
      <c r="B7" s="11" t="s">
        <v>162</v>
      </c>
      <c r="C7" s="12">
        <v>0.12</v>
      </c>
      <c r="D7" s="9"/>
      <c r="E7" s="72">
        <f>IFERROR(VLOOKUP(B7,Ingredientes!$B:$C,2,FALSE),0)</f>
        <v>4650</v>
      </c>
      <c r="F7" s="73">
        <f t="shared" ref="F7:F30" si="0">C7*E7</f>
        <v>558</v>
      </c>
      <c r="H7" s="67" t="s">
        <v>60</v>
      </c>
      <c r="I7" s="81">
        <v>6000</v>
      </c>
      <c r="J7" s="68"/>
    </row>
    <row r="8" spans="2:12" ht="22.5" thickBot="1" x14ac:dyDescent="0.65">
      <c r="B8" s="11" t="s">
        <v>12</v>
      </c>
      <c r="C8" s="12">
        <v>0.13500000000000001</v>
      </c>
      <c r="D8" s="9" t="str">
        <f>IFERROR(VLOOKUP(B8,Ingredientes!$B:$D,3,FALSE),0)</f>
        <v>KG</v>
      </c>
      <c r="E8" s="72">
        <f>IFERROR(VLOOKUP(B8,Ingredientes!$B:$C,2,FALSE),0)</f>
        <v>1132</v>
      </c>
      <c r="F8" s="73">
        <f t="shared" si="0"/>
        <v>152.82000000000002</v>
      </c>
      <c r="H8" s="67" t="s">
        <v>61</v>
      </c>
      <c r="I8" s="81">
        <v>5635</v>
      </c>
      <c r="J8" s="68"/>
    </row>
    <row r="9" spans="2:12" ht="22.5" thickBot="1" x14ac:dyDescent="0.65">
      <c r="B9" s="11" t="s">
        <v>154</v>
      </c>
      <c r="C9" s="12">
        <v>0.45</v>
      </c>
      <c r="D9" s="9">
        <f>IFERROR(VLOOKUP(B9,Ingredientes!$B:$D,3,FALSE),0)</f>
        <v>0</v>
      </c>
      <c r="E9" s="72">
        <f>IFERROR(VLOOKUP(B9,Ingredientes!$B:$C,2,FALSE),0)</f>
        <v>3900</v>
      </c>
      <c r="F9" s="73">
        <f t="shared" si="0"/>
        <v>1755</v>
      </c>
      <c r="H9" s="67" t="s">
        <v>62</v>
      </c>
      <c r="I9" s="82">
        <f>SUM($I$6:$I$8)</f>
        <v>21736.44</v>
      </c>
      <c r="J9" s="68"/>
    </row>
    <row r="10" spans="2:12" ht="22.5" thickBot="1" x14ac:dyDescent="0.65">
      <c r="B10" s="11" t="s">
        <v>10</v>
      </c>
      <c r="C10" s="12">
        <v>2</v>
      </c>
      <c r="D10" s="9" t="str">
        <f>IFERROR(VLOOKUP(B10,Ingredientes!$B:$D,3,FALSE),0)</f>
        <v>KG</v>
      </c>
      <c r="E10" s="72">
        <f>IFERROR(VLOOKUP(B10,Ingredientes!$B:$C,2,FALSE),0)</f>
        <v>150</v>
      </c>
      <c r="F10" s="73">
        <f t="shared" si="0"/>
        <v>300</v>
      </c>
      <c r="H10" s="67"/>
      <c r="I10" s="69"/>
      <c r="J10" s="68"/>
    </row>
    <row r="11" spans="2:12" ht="22.5" thickBot="1" x14ac:dyDescent="0.65">
      <c r="B11" s="11" t="s">
        <v>163</v>
      </c>
      <c r="C11" s="12">
        <v>0.13500000000000001</v>
      </c>
      <c r="D11" s="9">
        <f>IFERROR(VLOOKUP(B11,Ingredientes!$B:$D,3,FALSE),0)</f>
        <v>0</v>
      </c>
      <c r="E11" s="72">
        <f>IFERROR(VLOOKUP(B11,Ingredientes!$B:$C,2,FALSE),0)</f>
        <v>800</v>
      </c>
      <c r="F11" s="73">
        <f t="shared" si="0"/>
        <v>108</v>
      </c>
      <c r="H11" s="67" t="s">
        <v>63</v>
      </c>
      <c r="I11" s="104">
        <v>5000</v>
      </c>
      <c r="J11" s="68"/>
    </row>
    <row r="12" spans="2:12" ht="22.5" thickBot="1" x14ac:dyDescent="0.65">
      <c r="B12" s="11" t="s">
        <v>137</v>
      </c>
      <c r="C12" s="12">
        <v>0.03</v>
      </c>
      <c r="D12" s="9">
        <f>IFERROR(VLOOKUP(B12,Ingredientes!$B:$D,3,FALSE),0)</f>
        <v>0</v>
      </c>
      <c r="E12" s="72">
        <f>IFERROR(VLOOKUP(B12,Ingredientes!$B:$C,2,FALSE),0)</f>
        <v>22629</v>
      </c>
      <c r="F12" s="73">
        <f t="shared" si="0"/>
        <v>678.87</v>
      </c>
      <c r="H12" s="67" t="s">
        <v>64</v>
      </c>
      <c r="I12" s="83">
        <f>I11-I9</f>
        <v>-16736.439999999999</v>
      </c>
      <c r="J12" s="68"/>
    </row>
    <row r="13" spans="2:12" ht="22.5" thickBot="1" x14ac:dyDescent="0.65">
      <c r="B13" s="11" t="s">
        <v>150</v>
      </c>
      <c r="C13" s="12">
        <v>0.03</v>
      </c>
      <c r="D13" s="9">
        <f>IFERROR(VLOOKUP(B13,Ingredientes!$B:$D,3,FALSE),0)</f>
        <v>0</v>
      </c>
      <c r="E13" s="72">
        <f>IFERROR(VLOOKUP(B13,Ingredientes!$B:$C,2,FALSE),0)</f>
        <v>4320</v>
      </c>
      <c r="F13" s="73">
        <f t="shared" si="0"/>
        <v>129.6</v>
      </c>
      <c r="H13" s="67" t="s">
        <v>64</v>
      </c>
      <c r="I13" s="84">
        <f>I12/I11</f>
        <v>-3.3472879999999998</v>
      </c>
      <c r="J13" s="68"/>
    </row>
    <row r="14" spans="2:12" ht="22.5" thickBot="1" x14ac:dyDescent="0.65">
      <c r="B14" s="11" t="s">
        <v>143</v>
      </c>
      <c r="C14" s="12">
        <v>2.5000000000000001E-2</v>
      </c>
      <c r="D14" s="9">
        <f>IFERROR(VLOOKUP(B14,Ingredientes!$B:$D,3,FALSE),0)</f>
        <v>0</v>
      </c>
      <c r="E14" s="72">
        <f>IFERROR(VLOOKUP(B14,Ingredientes!$B:$C,2,FALSE),0)</f>
        <v>11000</v>
      </c>
      <c r="F14" s="73">
        <f t="shared" si="0"/>
        <v>275</v>
      </c>
      <c r="H14" s="67" t="s">
        <v>65</v>
      </c>
      <c r="I14" s="103">
        <f>CIF!C67/(I11-I6-I7)</f>
        <v>-106.29251700680274</v>
      </c>
      <c r="J14" s="68"/>
    </row>
    <row r="15" spans="2:12" ht="22.5" thickBot="1" x14ac:dyDescent="0.65">
      <c r="B15" s="11" t="s">
        <v>9</v>
      </c>
      <c r="C15" s="12">
        <v>0.115</v>
      </c>
      <c r="D15" s="9" t="str">
        <f>IFERROR(VLOOKUP(B15,Ingredientes!$B:$D,3,FALSE),0)</f>
        <v>KG</v>
      </c>
      <c r="E15" s="72">
        <f>IFERROR(VLOOKUP(B15,Ingredientes!$B:$C,2,FALSE),0)</f>
        <v>1106</v>
      </c>
      <c r="F15" s="73">
        <f t="shared" si="0"/>
        <v>127.19000000000001</v>
      </c>
      <c r="H15" s="70"/>
      <c r="I15" s="79"/>
      <c r="J15" s="71"/>
    </row>
    <row r="16" spans="2:12" x14ac:dyDescent="0.6">
      <c r="B16" s="11" t="s">
        <v>164</v>
      </c>
      <c r="C16" s="12">
        <v>5.0000000000000001E-3</v>
      </c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 t="s">
        <v>146</v>
      </c>
      <c r="C17" s="12">
        <v>5.0000000000000001E-3</v>
      </c>
      <c r="D17" s="9">
        <f>IFERROR(VLOOKUP(B17,Ingredientes!$B:$D,3,FALSE),0)</f>
        <v>0</v>
      </c>
      <c r="E17" s="72">
        <f>IFERROR(VLOOKUP(B17,Ingredientes!$B:$C,2,FALSE),0)</f>
        <v>22000</v>
      </c>
      <c r="F17" s="73">
        <f t="shared" si="0"/>
        <v>110</v>
      </c>
    </row>
    <row r="18" spans="2:9" x14ac:dyDescent="0.6">
      <c r="B18" s="11" t="s">
        <v>155</v>
      </c>
      <c r="C18" s="12">
        <v>0.1</v>
      </c>
      <c r="D18" s="9">
        <f>IFERROR(VLOOKUP(B18,Ingredientes!$B:$D,3,FALSE),0)</f>
        <v>0</v>
      </c>
      <c r="E18" s="72">
        <f>IFERROR(VLOOKUP(B18,Ingredientes!$B:$C,2,FALSE),0)</f>
        <v>26864</v>
      </c>
      <c r="F18" s="73">
        <f t="shared" si="0"/>
        <v>2686.4</v>
      </c>
    </row>
    <row r="19" spans="2:9" x14ac:dyDescent="0.6">
      <c r="B19" s="11" t="s">
        <v>156</v>
      </c>
      <c r="C19" s="12">
        <v>0.1</v>
      </c>
      <c r="D19" s="9">
        <f>IFERROR(VLOOKUP(B19,Ingredientes!$B:$D,3,FALSE),0)</f>
        <v>0</v>
      </c>
      <c r="E19" s="72">
        <f>IFERROR(VLOOKUP(B19,Ingredientes!$B:$C,2,FALSE),0)</f>
        <v>7200</v>
      </c>
      <c r="F19" s="73">
        <f t="shared" si="0"/>
        <v>720</v>
      </c>
    </row>
    <row r="20" spans="2:9" x14ac:dyDescent="0.6">
      <c r="B20" s="11" t="s">
        <v>148</v>
      </c>
      <c r="C20" s="12">
        <v>0.2</v>
      </c>
      <c r="D20" s="9">
        <f>IFERROR(VLOOKUP(B20,Ingredientes!$B:$D,3,FALSE),0)</f>
        <v>0</v>
      </c>
      <c r="E20" s="72">
        <f>IFERROR(VLOOKUP(B20,Ingredientes!$B:$C,2,FALSE),0)</f>
        <v>9565.2999999999993</v>
      </c>
      <c r="F20" s="73">
        <f t="shared" si="0"/>
        <v>1913.06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10101.439999999999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31CA25-1644-41B2-9924-5DAE7A590D36}">
          <x14:formula1>
            <xm:f>Ingredientes!$B$5:$B$769</xm:f>
          </x14:formula1>
          <xm:sqref>B6:B30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B98E-BA40-4ACE-8BEE-AF4B49975B67}">
  <sheetPr>
    <tabColor rgb="FFFFFF00"/>
  </sheetPr>
  <dimension ref="A1:L82"/>
  <sheetViews>
    <sheetView showGridLines="0" tabSelected="1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MENU!B6</f>
        <v>PEPAS INTEGRALES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 t="s">
        <v>127</v>
      </c>
      <c r="C6" s="12">
        <v>0.125</v>
      </c>
      <c r="D6" s="9" t="str">
        <f>IFERROR(VLOOKUP(B6,Ingredientes!$B:$D,3,FALSE),0)</f>
        <v>KG</v>
      </c>
      <c r="E6" s="72">
        <f>IFERROR(VLOOKUP(B6,Ingredientes!$B:$C,2,FALSE),0)</f>
        <v>10066.200000000001</v>
      </c>
      <c r="F6" s="73">
        <f>C6*E6</f>
        <v>1258.2750000000001</v>
      </c>
      <c r="H6" s="77" t="s">
        <v>66</v>
      </c>
      <c r="I6" s="80">
        <f>F31</f>
        <v>4908.915</v>
      </c>
      <c r="J6" s="78"/>
    </row>
    <row r="7" spans="2:12" ht="22.5" thickBot="1" x14ac:dyDescent="0.65">
      <c r="B7" s="11" t="s">
        <v>129</v>
      </c>
      <c r="C7" s="12">
        <v>0.12</v>
      </c>
      <c r="D7" s="9" t="str">
        <f>IFERROR(VLOOKUP(B7,Ingredientes!$B:$D,3,FALSE),0)</f>
        <v>KG</v>
      </c>
      <c r="E7" s="72">
        <f>IFERROR(VLOOKUP(B7,Ingredientes!$B:$C,2,FALSE),0)</f>
        <v>8847</v>
      </c>
      <c r="F7" s="73">
        <f t="shared" ref="F7:F30" si="0">C7*E7</f>
        <v>1061.6399999999999</v>
      </c>
      <c r="H7" s="67" t="s">
        <v>60</v>
      </c>
      <c r="I7" s="81">
        <v>6000</v>
      </c>
      <c r="J7" s="68"/>
    </row>
    <row r="8" spans="2:12" ht="22.5" thickBot="1" x14ac:dyDescent="0.65">
      <c r="B8" s="11" t="s">
        <v>10</v>
      </c>
      <c r="C8" s="12">
        <v>1</v>
      </c>
      <c r="D8" s="9" t="str">
        <f>IFERROR(VLOOKUP(B8,Ingredientes!$B:$D,3,FALSE),0)</f>
        <v>KG</v>
      </c>
      <c r="E8" s="72">
        <f>IFERROR(VLOOKUP(B8,Ingredientes!$B:$C,2,FALSE),0)</f>
        <v>150</v>
      </c>
      <c r="F8" s="73">
        <f t="shared" si="0"/>
        <v>150</v>
      </c>
      <c r="H8" s="67" t="s">
        <v>61</v>
      </c>
      <c r="I8" s="81">
        <v>3820</v>
      </c>
      <c r="J8" s="68"/>
    </row>
    <row r="9" spans="2:12" ht="22.5" thickBot="1" x14ac:dyDescent="0.65">
      <c r="B9" s="11" t="s">
        <v>153</v>
      </c>
      <c r="C9" s="12">
        <v>0.3</v>
      </c>
      <c r="D9" s="9">
        <f>IFERROR(VLOOKUP(B9,Ingredientes!$B:$D,3,FALSE),0)</f>
        <v>0</v>
      </c>
      <c r="E9" s="72">
        <f>IFERROR(VLOOKUP(B9,Ingredientes!$B:$C,2,FALSE),0)</f>
        <v>2000</v>
      </c>
      <c r="F9" s="73">
        <f t="shared" si="0"/>
        <v>600</v>
      </c>
      <c r="H9" s="67" t="s">
        <v>62</v>
      </c>
      <c r="I9" s="82">
        <f>SUM($I$6:$I$8)</f>
        <v>14728.915000000001</v>
      </c>
      <c r="J9" s="68"/>
    </row>
    <row r="10" spans="2:12" ht="22.5" thickBot="1" x14ac:dyDescent="0.65">
      <c r="B10" s="11" t="s">
        <v>146</v>
      </c>
      <c r="C10" s="12">
        <v>1.2E-2</v>
      </c>
      <c r="D10" s="9">
        <f>IFERROR(VLOOKUP(B10,Ingredientes!$B:$D,3,FALSE),0)</f>
        <v>0</v>
      </c>
      <c r="E10" s="72">
        <f>IFERROR(VLOOKUP(B10,Ingredientes!$B:$C,2,FALSE),0)</f>
        <v>22000</v>
      </c>
      <c r="F10" s="73">
        <f t="shared" si="0"/>
        <v>264</v>
      </c>
      <c r="H10" s="67"/>
      <c r="I10" s="69"/>
      <c r="J10" s="68"/>
    </row>
    <row r="11" spans="2:12" ht="22.5" thickBot="1" x14ac:dyDescent="0.65">
      <c r="B11" s="11" t="s">
        <v>158</v>
      </c>
      <c r="C11" s="12"/>
      <c r="D11" s="9">
        <f>IFERROR(VLOOKUP(B11,Ingredientes!$B:$D,3,FALSE),0)</f>
        <v>0</v>
      </c>
      <c r="E11" s="72">
        <f>IFERROR(VLOOKUP(B11,Ingredientes!$B:$C,2,FALSE),0)</f>
        <v>13700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 t="s">
        <v>151</v>
      </c>
      <c r="C12" s="12">
        <v>1</v>
      </c>
      <c r="D12" s="9"/>
      <c r="E12" s="72">
        <f>IFERROR(VLOOKUP(B12,Ingredientes!$B:$C,2,FALSE),0)</f>
        <v>315</v>
      </c>
      <c r="F12" s="73">
        <f t="shared" si="0"/>
        <v>315</v>
      </c>
      <c r="H12" s="67" t="s">
        <v>64</v>
      </c>
      <c r="I12" s="83">
        <f>I11-I9</f>
        <v>-9728.9150000000009</v>
      </c>
      <c r="J12" s="68"/>
    </row>
    <row r="13" spans="2:12" ht="22.5" thickBot="1" x14ac:dyDescent="0.65">
      <c r="B13" s="11" t="s">
        <v>157</v>
      </c>
      <c r="C13" s="12">
        <v>0.3</v>
      </c>
      <c r="D13" s="9">
        <f>IFERROR(VLOOKUP(B13,Ingredientes!$B:$D,3,FALSE),0)</f>
        <v>0</v>
      </c>
      <c r="E13" s="72">
        <f>IFERROR(VLOOKUP(B13,Ingredientes!$B:$C,2,FALSE),0)</f>
        <v>4200</v>
      </c>
      <c r="F13" s="73">
        <f t="shared" si="0"/>
        <v>1260</v>
      </c>
      <c r="H13" s="67" t="s">
        <v>64</v>
      </c>
      <c r="I13" s="84">
        <f>I12/I11</f>
        <v>-1.9457830000000003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-199.69825255567224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4908.915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3FBF46-1FB0-437A-9F8B-2DB34CF48184}">
          <x14:formula1>
            <xm:f>Ingredientes!$B$5:$B$769</xm:f>
          </x14:formula1>
          <xm:sqref>B6:B30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58F5-40D2-429D-862F-7EC506FE05C8}">
  <sheetPr>
    <tabColor rgb="FFFFFF00"/>
  </sheetPr>
  <dimension ref="A1:L82"/>
  <sheetViews>
    <sheetView showGridLines="0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MENU!B7</f>
        <v>Nombre de la receta 4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AB28CD-7366-4B5F-AF3F-78746158CBEB}">
          <x14:formula1>
            <xm:f>Ingredientes!$B$5:$B$769</xm:f>
          </x14:formula1>
          <xm:sqref>B6:B30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B337-2983-4822-9D1D-142A767773E4}">
  <sheetPr>
    <tabColor rgb="FFFFFF00"/>
  </sheetPr>
  <dimension ref="A1:L82"/>
  <sheetViews>
    <sheetView showGridLines="0" topLeftCell="A26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MENU!B8</f>
        <v>Nombre de la receta 5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E69D9F-1A65-4A6D-8F7B-3691035546BF}">
          <x14:formula1>
            <xm:f>Ingredientes!$B$5:$B$769</xm:f>
          </x14:formula1>
          <xm:sqref>B6:B30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4DC0B-B3A1-40A9-8D9F-86673C56D9F9}">
  <sheetPr>
    <tabColor rgb="FFFFFF00"/>
  </sheetPr>
  <dimension ref="A1:L82"/>
  <sheetViews>
    <sheetView showGridLines="0" topLeftCell="A29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MENU!B9</f>
        <v>Nombre de la receta 6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D72BE9-0EE2-4B37-8F7D-159B772C74EF}">
          <x14:formula1>
            <xm:f>Ingredientes!$B$5:$B$769</xm:f>
          </x14:formula1>
          <xm:sqref>B6:B30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A14B-9698-4B7A-8C25-D3489424030C}">
  <sheetPr>
    <tabColor rgb="FFFFFF00"/>
  </sheetPr>
  <dimension ref="A1:L82"/>
  <sheetViews>
    <sheetView showGridLines="0" zoomScale="90" zoomScaleNormal="90" workbookViewId="0">
      <selection activeCell="B6" sqref="B6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MENU!B10</f>
        <v>Nombre de la receta 7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C78408-0C22-4ACD-ADAE-7DD5422455A6}">
          <x14:formula1>
            <xm:f>Ingredientes!$B$5:$B$769</xm:f>
          </x14:formula1>
          <xm:sqref>B6:B30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B656-6341-47DF-AAAD-605B3712F8A9}">
  <sheetPr>
    <tabColor rgb="FFFFFF00"/>
  </sheetPr>
  <dimension ref="A1:L82"/>
  <sheetViews>
    <sheetView showGridLines="0" topLeftCell="A23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MENU!B11</f>
        <v>Nombre de la receta 8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DF696C-D800-4D58-B10F-C20A4714F7D1}">
          <x14:formula1>
            <xm:f>Ingredientes!$B$5:$B$769</xm:f>
          </x14:formula1>
          <xm:sqref>B6:B30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AD5F-9180-49AF-B0FF-BBA7C28B5B1A}">
  <sheetPr>
    <tabColor rgb="FFFFFF00"/>
  </sheetPr>
  <dimension ref="A1:L82"/>
  <sheetViews>
    <sheetView showGridLines="0" topLeftCell="A34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MENU!B12</f>
        <v>Nombre de la receta 9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ABA3E0-9DEA-4887-BC89-68454A08294B}">
          <x14:formula1>
            <xm:f>Ingredientes!$B$5:$B$769</xm:f>
          </x14:formula1>
          <xm:sqref>B6:B30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1879-6290-4476-A1F6-4C838C00263E}">
  <sheetPr>
    <tabColor rgb="FFFFFF00"/>
  </sheetPr>
  <dimension ref="A1:L82"/>
  <sheetViews>
    <sheetView showGridLines="0" topLeftCell="A20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MENU!B13</f>
        <v>Nombre de la receta 10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FC6B48-6797-48BB-B4E9-5E52FCA11209}">
          <x14:formula1>
            <xm:f>Ingredientes!$B$5:$B$769</xm:f>
          </x14:formula1>
          <xm:sqref>B6:B30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801E-9216-4D68-B3F4-D693F043630E}">
  <sheetPr>
    <tabColor rgb="FFFFFF00"/>
  </sheetPr>
  <dimension ref="A1:L82"/>
  <sheetViews>
    <sheetView showGridLines="0" topLeftCell="A26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MENU!B14</f>
        <v>Nombre de la receta 11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85B602-273B-4756-8F89-DEE7FAC7668A}">
          <x14:formula1>
            <xm:f>Ingredientes!$B$5:$B$769</xm:f>
          </x14:formula1>
          <xm:sqref>B6:B30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4733-B9D0-492D-AE45-E22C91C84F3A}">
  <sheetPr>
    <tabColor rgb="FFFFFF00"/>
  </sheetPr>
  <dimension ref="A1:L82"/>
  <sheetViews>
    <sheetView showGridLines="0" topLeftCell="A26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MENU!B15</f>
        <v>Nombre de la receta 12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506E24-4A18-40C1-B4D0-9813596F4E63}">
          <x14:formula1>
            <xm:f>Ingredientes!$B$5:$B$769</xm:f>
          </x14:formula1>
          <xm:sqref>B6:B30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A4C7-A703-4DCF-AF41-7B1B8DE51C3C}">
  <sheetPr>
    <tabColor rgb="FFFFFF00"/>
  </sheetPr>
  <dimension ref="A1:L82"/>
  <sheetViews>
    <sheetView showGridLines="0" topLeftCell="A29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MENU!B16</f>
        <v>Nombre de la receta 13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6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D7DB82-026B-4DDB-AD66-9123AAA41569}">
          <x14:formula1>
            <xm:f>Ingredientes!$B$5:$B$769</xm:f>
          </x14:formula1>
          <xm:sqref>B6:B30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6D4E-35AA-4323-A4A3-3BA779F75D4E}">
  <sheetPr>
    <tabColor rgb="FFFFFF00"/>
  </sheetPr>
  <dimension ref="A1:L82"/>
  <sheetViews>
    <sheetView showGridLines="0" topLeftCell="A38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MENU!B17</f>
        <v>Nombre de la receta 14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6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910F1A-21EF-4504-ACCE-292E5AFD8825}">
          <x14:formula1>
            <xm:f>Ingredientes!$B$5:$B$769</xm:f>
          </x14:formula1>
          <xm:sqref>B6:B30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68E52-50FE-4F80-A2FE-1BED73AE94ED}">
  <sheetPr>
    <tabColor rgb="FFFFFF00"/>
  </sheetPr>
  <dimension ref="A1:L82"/>
  <sheetViews>
    <sheetView showGridLines="0" topLeftCell="A23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MENU!B18</f>
        <v>Nombre de la receta 15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6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F109CE-22A7-43D9-88FF-640BE82A65C6}">
          <x14:formula1>
            <xm:f>Ingredientes!$B$5:$B$769</xm:f>
          </x14:formula1>
          <xm:sqref>B6:B30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7C31-26A9-4E03-9905-2FD2760BF6F4}">
  <sheetPr>
    <tabColor rgb="FFFFFF00"/>
  </sheetPr>
  <dimension ref="A1:L82"/>
  <sheetViews>
    <sheetView showGridLines="0" topLeftCell="A23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MENU!B19</f>
        <v>Nombre de la receta 16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6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CF4444-7D0F-4825-9A6C-80E50683193B}">
          <x14:formula1>
            <xm:f>Ingredientes!$B$5:$B$769</xm:f>
          </x14:formula1>
          <xm:sqref>B6:B30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050D-B0D9-48C4-AEDC-31F22132AEF7}">
  <sheetPr>
    <tabColor rgb="FFFFFF00"/>
  </sheetPr>
  <dimension ref="A1:L82"/>
  <sheetViews>
    <sheetView showGridLines="0" topLeftCell="A29" zoomScale="90" zoomScaleNormal="90" workbookViewId="0">
      <selection activeCell="H33" sqref="H33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MENU!B20</f>
        <v>Nombre de la receta 17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2D4487-70B5-4CDF-B978-91A1C025506D}">
          <x14:formula1>
            <xm:f>Ingredientes!$B$5:$B$769</xm:f>
          </x14:formula1>
          <xm:sqref>B6:B30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4A98-9FE7-4F10-A55B-16E2E672992A}">
  <sheetPr>
    <tabColor rgb="FFFFFF00"/>
  </sheetPr>
  <dimension ref="A1:L82"/>
  <sheetViews>
    <sheetView showGridLines="0" topLeftCell="A26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MENU!B21</f>
        <v>Nombre de la receta 18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274A5A-532B-4F2D-BD23-E2CC13F53E89}">
          <x14:formula1>
            <xm:f>Ingredientes!$B$5:$B$769</xm:f>
          </x14:formula1>
          <xm:sqref>B6:B30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E8BA1-4394-4B5A-9995-D128E08EBC29}">
  <sheetPr>
    <tabColor rgb="FFFFFF00"/>
  </sheetPr>
  <dimension ref="A1:L82"/>
  <sheetViews>
    <sheetView showGridLines="0" topLeftCell="A20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MENU!B22</f>
        <v>Nombre de la receta 19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E0446D-E619-4210-B157-27184F923AA9}">
          <x14:formula1>
            <xm:f>Ingredientes!$B$5:$B$769</xm:f>
          </x14:formula1>
          <xm:sqref>B6:B30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7E6A-D564-4511-9EB3-31B0FB4A6F81}">
  <sheetPr>
    <tabColor rgb="FFFFFF00"/>
  </sheetPr>
  <dimension ref="A1:L82"/>
  <sheetViews>
    <sheetView showGridLines="0" topLeftCell="A23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MENU!B23</f>
        <v>Nombre de la receta 20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3BC6F2-FBE3-49F5-9E36-D0683A4FE2E3}">
          <x14:formula1>
            <xm:f>Ingredientes!$B$5:$B$769</xm:f>
          </x14:formula1>
          <xm:sqref>B6:B30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2A18-AC3A-4C30-80C2-7B6FC8F9D96E}">
  <sheetPr>
    <tabColor rgb="FFFFFF00"/>
  </sheetPr>
  <dimension ref="A1:L82"/>
  <sheetViews>
    <sheetView showGridLines="0" topLeftCell="A26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MENU!E4</f>
        <v>Nombre de la receta 21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D02173-FF63-42BD-B09B-33CC92E40E48}">
          <x14:formula1>
            <xm:f>Ingredientes!$B$5:$B$769</xm:f>
          </x14:formula1>
          <xm:sqref>B6:B30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E51F-5AFA-40B7-A682-F29F49482B67}">
  <sheetPr>
    <tabColor rgb="FFFFFF00"/>
  </sheetPr>
  <dimension ref="A1:L82"/>
  <sheetViews>
    <sheetView showGridLines="0" topLeftCell="A29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MENU!E5</f>
        <v>Nombre de la receta 22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2117F-7831-4DDF-82E4-FA3B9DCFB523}">
          <x14:formula1>
            <xm:f>Ingredientes!$B$5:$B$769</xm:f>
          </x14:formula1>
          <xm:sqref>B6:B30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3D4A-67D3-4ED7-97C3-35F32CBC5FF8}">
  <sheetPr>
    <tabColor rgb="FFFFFF00"/>
  </sheetPr>
  <dimension ref="A1:L82"/>
  <sheetViews>
    <sheetView showGridLines="0" topLeftCell="A29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MENU!E6</f>
        <v>Nombre de la receta 23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E20773-D1D4-4107-853F-9E193CF2EF2B}">
          <x14:formula1>
            <xm:f>Ingredientes!$B$5:$B$769</xm:f>
          </x14:formula1>
          <xm:sqref>B6:B30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483F0-8DF3-45FE-9177-451ADF53FB1A}">
  <sheetPr>
    <tabColor rgb="FFFFFF00"/>
  </sheetPr>
  <dimension ref="A1:L82"/>
  <sheetViews>
    <sheetView showGridLines="0" topLeftCell="A29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MENU!E7</f>
        <v>Nombre de la receta 24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EC4A31-69BE-4E5B-8456-80C7AB2CD4D1}">
          <x14:formula1>
            <xm:f>Ingredientes!$B$5:$B$769</xm:f>
          </x14:formula1>
          <xm:sqref>B6:B30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215A-DEFE-4FAB-976C-3DCD9EA13567}">
  <sheetPr>
    <tabColor rgb="FFFFFF00"/>
  </sheetPr>
  <dimension ref="A1:L82"/>
  <sheetViews>
    <sheetView showGridLines="0" topLeftCell="A26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MENU!E8</f>
        <v>Nombre de la receta 25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9A40EF-A46C-4080-A078-3AEB9F127233}">
          <x14:formula1>
            <xm:f>Ingredientes!$B$5:$B$769</xm:f>
          </x14:formula1>
          <xm:sqref>B6:B30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9FB3-5DA7-462D-9E13-3431BE1AC1C6}">
  <sheetPr>
    <tabColor rgb="FFFFFF00"/>
  </sheetPr>
  <dimension ref="A1:L82"/>
  <sheetViews>
    <sheetView showGridLines="0" topLeftCell="A26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MENU!E9</f>
        <v>Nombre de la receta 26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FF7A37-6D01-4E6B-8595-64B30EDEF814}">
          <x14:formula1>
            <xm:f>Ingredientes!$B$5:$B$769</xm:f>
          </x14:formula1>
          <xm:sqref>B6:B30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C22C-1B82-426E-A483-181D710B5518}">
  <sheetPr>
    <tabColor rgb="FFFFFF00"/>
  </sheetPr>
  <dimension ref="A1:L82"/>
  <sheetViews>
    <sheetView showGridLines="0" topLeftCell="A34" zoomScale="90" zoomScaleNormal="90" workbookViewId="0">
      <selection activeCell="C34" sqref="C34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MENU!E10</f>
        <v>Nombre de la receta 27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15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B413F8-5C61-42F9-BB13-E83F42DFF5A1}">
          <x14:formula1>
            <xm:f>Ingredientes!$B$5:$B$769</xm:f>
          </x14:formula1>
          <xm:sqref>B6:B30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7BD3-F9CB-4F71-A5AE-8C9B4BBF83CC}">
  <sheetPr>
    <tabColor rgb="FFFFFF00"/>
  </sheetPr>
  <dimension ref="A1:L82"/>
  <sheetViews>
    <sheetView showGridLines="0" topLeftCell="A20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MENU!E11</f>
        <v>Nombre de la receta 28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45EF98-A85D-445A-929D-65C42D05FD75}">
          <x14:formula1>
            <xm:f>Ingredientes!$B$5:$B$769</xm:f>
          </x14:formula1>
          <xm:sqref>B6:B30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C8BF-3E65-4152-B315-EC580F3B51AF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MENU!E12</f>
        <v>Nombre de la receta 29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6CF43F-E75C-4849-8E89-F71D35A49246}">
          <x14:formula1>
            <xm:f>Ingredientes!$B$5:$B$769</xm:f>
          </x14:formula1>
          <xm:sqref>B6:B30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C249-3243-446B-A782-418E9339CB4F}">
  <sheetPr>
    <tabColor rgb="FFFFFF00"/>
  </sheetPr>
  <dimension ref="A1:L82"/>
  <sheetViews>
    <sheetView showGridLines="0" topLeftCell="A6" zoomScale="90" zoomScaleNormal="90" workbookViewId="0">
      <selection activeCell="I8" sqref="I8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MENU!E13</f>
        <v>Nombre de la receta 30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73F27A-AB3A-44D5-8AEF-329040DE4E92}">
          <x14:formula1>
            <xm:f>Ingredientes!$B$5:$B$769</xm:f>
          </x14:formula1>
          <xm:sqref>B6:B30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9A5FC-8519-4222-80C6-9F49200E6546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MENU!E14</f>
        <v>Nombre de la receta 31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63A135-96CC-4325-B101-206981F44EE0}">
          <x14:formula1>
            <xm:f>Ingredientes!$B$5:$B$769</xm:f>
          </x14:formula1>
          <xm:sqref>B6:B30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65E4-8836-4CEC-B438-1769A7EF1DD9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MENU!E15</f>
        <v>Nombre de la receta 32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052E33-87E7-45F5-B68D-E8E6517F193E}">
          <x14:formula1>
            <xm:f>Ingredientes!$B$5:$B$769</xm:f>
          </x14:formula1>
          <xm:sqref>B6:B30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B0CB-EF26-4FE2-8A8A-D0A34747600A}">
  <sheetPr>
    <tabColor rgb="FFFFFF00"/>
  </sheetPr>
  <dimension ref="A1:L82"/>
  <sheetViews>
    <sheetView showGridLines="0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MENU!E16</f>
        <v>Nombre de la receta 33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B8D654-415E-49CC-AA8B-AA26BFCE7A73}">
          <x14:formula1>
            <xm:f>Ingredientes!$B$5:$B$769</xm:f>
          </x14:formula1>
          <xm:sqref>B6:B30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BA2AA-F4A7-425B-BB8A-E04EF00CDD78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MENU!E17</f>
        <v>Nombre de la receta 34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65EAF9-DBD0-4F16-83FE-B3CE293CC7C2}">
          <x14:formula1>
            <xm:f>Ingredientes!$B$5:$B$769</xm:f>
          </x14:formula1>
          <xm:sqref>B6:B30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C1D1-6497-463C-B521-D7D3DF0756C9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MENU!E18</f>
        <v>Nombre de la receta 35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235084-99CF-4339-B8B5-E92891D6968B}">
          <x14:formula1>
            <xm:f>Ingredientes!$B$5:$B$769</xm:f>
          </x14:formula1>
          <xm:sqref>B6:B30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2251-7144-49C1-87BE-EAAFADE8E02B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MENU!E19</f>
        <v>Nombre de la receta 36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E7B3AFF-7770-40E2-9E6E-D816F7257D3B}">
          <x14:formula1>
            <xm:f>Ingredientes!$B$5:$B$769</xm:f>
          </x14:formula1>
          <xm:sqref>B6:B30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1FEB-48A9-4EBE-8B7A-612F8E1104F7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MENU!E20</f>
        <v>Nombre de la receta 37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4D0555-A11E-4DA6-93D6-B69E12F8B5AC}">
          <x14:formula1>
            <xm:f>Ingredientes!$B$5:$B$769</xm:f>
          </x14:formula1>
          <xm:sqref>B6:B30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5553-73A9-4C77-ACE1-35E643D17073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MENU!E21</f>
        <v>Nombre de la receta 38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9BFB0A-3FD7-4F7E-8F57-E6B94639B790}">
          <x14:formula1>
            <xm:f>Ingredientes!$B$5:$B$769</xm:f>
          </x14:formula1>
          <xm:sqref>B6:B30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5C7F-1906-4750-A71C-0BA62C469571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MENU!E22</f>
        <v>Nombre de la receta 39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7B8926-9A4E-45B8-B3B9-B753291F04C7}">
          <x14:formula1>
            <xm:f>Ingredientes!$B$5:$B$769</xm:f>
          </x14:formula1>
          <xm:sqref>B6:B30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522B-E832-4AFD-8CC3-75C113F3537F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MENU!E23</f>
        <v>Nombre de la receta 40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B1F9F8-E37B-4BE2-9C4B-12871B689A52}">
          <x14:formula1>
            <xm:f>Ingredientes!$B$5:$B$769</xm:f>
          </x14:formula1>
          <xm:sqref>B6:B30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93F7F-0178-46C5-955D-4C6272AA80DE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MENU!H4</f>
        <v>Nombre de la receta 41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716539-B1B3-4F0B-8096-D3468B4D5FB9}">
          <x14:formula1>
            <xm:f>Ingredientes!$B$5:$B$769</xm:f>
          </x14:formula1>
          <xm:sqref>B6:B30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C204-47D1-4F21-9C3D-C7BC5F56F6B1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MENU!H5</f>
        <v>Nombre de la receta 42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CDA903-4DC9-4DDA-B78B-2D2D902961BA}">
          <x14:formula1>
            <xm:f>Ingredientes!$B$5:$B$769</xm:f>
          </x14:formula1>
          <xm:sqref>B6:B30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0147-CE98-4747-B3BD-24441648226E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MENU!H6</f>
        <v>Nombre de la receta 43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B820CF-68A9-4087-B2E1-86D311D17D52}">
          <x14:formula1>
            <xm:f>Ingredientes!$B$5:$B$769</xm:f>
          </x14:formula1>
          <xm:sqref>B6:B30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F751-3A67-4480-8755-966326350E8F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MENU!H7</f>
        <v>Nombre de la receta 44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307FB9-9C58-45DB-A1F3-8BB8CCEF184A}">
          <x14:formula1>
            <xm:f>Ingredientes!$B$5:$B$769</xm:f>
          </x14:formula1>
          <xm:sqref>B6:B30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2501-D35B-4033-B036-1942BB54A4B3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MENU!H8</f>
        <v>Nombre de la receta 45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7B6085-DB69-4693-98B1-5DC9803A3C00}">
          <x14:formula1>
            <xm:f>Ingredientes!$B$5:$B$769</xm:f>
          </x14:formula1>
          <xm:sqref>B6:B30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C54D-3DB6-4D4B-A2F1-F4ED1503C1AD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MENU!H9</f>
        <v>Nombre de la receta 46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F6115C-27FA-402F-A18C-90714DFA0257}">
          <x14:formula1>
            <xm:f>Ingredientes!$B$5:$B$769</xm:f>
          </x14:formula1>
          <xm:sqref>B6:B30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FD68-4952-4741-911C-8642513B32CE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MENU!H10</f>
        <v>Nombre de la receta 47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C9FE36-E6BC-4B0E-BA56-69340438FB5F}">
          <x14:formula1>
            <xm:f>Ingredientes!$B$5:$B$769</xm:f>
          </x14:formula1>
          <xm:sqref>B6:B30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A1A5-195B-40FF-95DE-70D2E0B5C080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MENU!H11</f>
        <v>Nombre de la receta 48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37B67B-E6F8-4BBF-8090-33FB3BA7328B}">
          <x14:formula1>
            <xm:f>Ingredientes!$B$5:$B$769</xm:f>
          </x14:formula1>
          <xm:sqref>B6:B30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47D8-82A6-4ABB-A394-5DD98B1F35CD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MENU!H12</f>
        <v>Nombre de la receta 49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53A743-8ACE-4964-847D-EE5F6E5B351D}">
          <x14:formula1>
            <xm:f>Ingredientes!$B$5:$B$769</xm:f>
          </x14:formula1>
          <xm:sqref>B6:B30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70D1-3B7E-47FF-83BA-FF8E1BCEDF6F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MENU!H13</f>
        <v>Nombre de la receta 50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5036EE-CC67-41AE-B72C-955D9CF48842}">
          <x14:formula1>
            <xm:f>Ingredientes!$B$5:$B$769</xm:f>
          </x14:formula1>
          <xm:sqref>B6:B30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5AC9-1A50-4AFD-8989-4F61B5D2E026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MENU!H14</f>
        <v>Nombre de la receta 51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C874FE-C5D7-47AD-8178-55EF51859F58}">
          <x14:formula1>
            <xm:f>Ingredientes!$B$5:$B$769</xm:f>
          </x14:formula1>
          <xm:sqref>B6:B30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A7EB-D73B-4390-ACA7-2C883131B7B8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MENU!H15</f>
        <v>Nombre de la receta 52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773FD0-EB5E-4761-9E60-500B7615B089}">
          <x14:formula1>
            <xm:f>Ingredientes!$B$5:$B$769</xm:f>
          </x14:formula1>
          <xm:sqref>B6:B30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69F1-FA1D-457E-97B9-91E185062EBD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MENU!H16</f>
        <v>Nombre de la receta 53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D46388-0C8D-4933-B244-906691BA9DC6}">
          <x14:formula1>
            <xm:f>Ingredientes!$B$5:$B$769</xm:f>
          </x14:formula1>
          <xm:sqref>B6:B30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A106-A976-49AD-94FE-3D6BD68DF9BF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MENU!H17</f>
        <v>Nombre de la receta 54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A3792E-F08F-4D13-A18A-C1D2838B259B}">
          <x14:formula1>
            <xm:f>Ingredientes!$B$5:$B$769</xm:f>
          </x14:formula1>
          <xm:sqref>B6:B30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A102-456D-4961-857F-70C1E41BDC10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MENU!H18</f>
        <v>Nombre de la receta 55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32F2B0-7586-4851-A3D4-4E844CACBC00}">
          <x14:formula1>
            <xm:f>Ingredientes!$B$5:$B$769</xm:f>
          </x14:formula1>
          <xm:sqref>B6:B30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1767-42B1-4162-80DB-7D3BB023EFC5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MENU!H19</f>
        <v>Nombre de la receta 56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F1AC0F-5A07-4CFA-AC0B-7E8AE82F878C}">
          <x14:formula1>
            <xm:f>Ingredientes!$B$5:$B$769</xm:f>
          </x14:formula1>
          <xm:sqref>B6:B30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AC25-853D-4328-B71C-82896FF4C56D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MENU!H20</f>
        <v>Nombre de la receta 57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21F08A-276D-460C-BFBE-67B419CA69E5}">
          <x14:formula1>
            <xm:f>Ingredientes!$B$5:$B$769</xm:f>
          </x14:formula1>
          <xm:sqref>B6:B30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A3F3-E3E5-4BB2-B8C9-B48BB91508EB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MENU!H21</f>
        <v>Nombre de la receta 58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1B89AA-759B-4166-A299-04D564C060FB}">
          <x14:formula1>
            <xm:f>Ingredientes!$B$5:$B$769</xm:f>
          </x14:formula1>
          <xm:sqref>B6:B30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7251-E12F-415F-8D59-27F810A572BF}">
  <sheetPr>
    <tabColor rgb="FFFFFF00"/>
  </sheetPr>
  <dimension ref="A1:L82"/>
  <sheetViews>
    <sheetView showGridLines="0" topLeftCell="A9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MENU!H22</f>
        <v>Nombre de la receta 59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A32F05-8795-4164-A64B-9E2166B29144}">
          <x14:formula1>
            <xm:f>Ingredientes!$B$5:$B$769</xm:f>
          </x14:formula1>
          <xm:sqref>B6:B30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1B65-2C2D-4BED-8BEC-78266E90825C}">
  <sheetPr>
    <tabColor rgb="FFFFFF00"/>
  </sheetPr>
  <dimension ref="A1:L82"/>
  <sheetViews>
    <sheetView showGridLines="0" zoomScale="90" zoomScaleNormal="90" workbookViewId="0">
      <selection activeCell="I9" sqref="I9"/>
    </sheetView>
  </sheetViews>
  <sheetFormatPr baseColWidth="10" defaultColWidth="0" defaultRowHeight="21.75" customHeight="1" zeroHeight="1" x14ac:dyDescent="0.6"/>
  <cols>
    <col min="1" max="1" width="4" style="3" customWidth="1"/>
    <col min="2" max="2" width="26.85546875" style="3" customWidth="1"/>
    <col min="3" max="3" width="11.42578125" style="3" bestFit="1" customWidth="1"/>
    <col min="4" max="4" width="14.7109375" style="3" bestFit="1" customWidth="1"/>
    <col min="5" max="5" width="15.42578125" style="3" customWidth="1"/>
    <col min="6" max="6" width="16.42578125" style="3" customWidth="1"/>
    <col min="7" max="7" width="3.42578125" style="3" customWidth="1"/>
    <col min="8" max="8" width="25.7109375" style="3" bestFit="1" customWidth="1"/>
    <col min="9" max="9" width="16" style="3" bestFit="1" customWidth="1"/>
    <col min="10" max="10" width="1.7109375" style="3" customWidth="1"/>
    <col min="11" max="11" width="11.42578125" style="3" customWidth="1"/>
    <col min="12" max="12" width="5.28515625" style="3" customWidth="1"/>
    <col min="13" max="16384" width="11.42578125" style="3" hidden="1"/>
  </cols>
  <sheetData>
    <row r="1" spans="2:12" x14ac:dyDescent="0.6"/>
    <row r="2" spans="2:12" ht="29.25" customHeight="1" x14ac:dyDescent="0.85">
      <c r="B2" s="127" t="str">
        <f>MENU!H23</f>
        <v>Nombre de la receta 60</v>
      </c>
      <c r="C2" s="127"/>
      <c r="D2" s="127"/>
      <c r="E2" s="127"/>
      <c r="F2" s="127"/>
    </row>
    <row r="3" spans="2:12" ht="22.5" thickBot="1" x14ac:dyDescent="0.65"/>
    <row r="4" spans="2:12" s="4" customFormat="1" ht="24" thickBot="1" x14ac:dyDescent="0.65">
      <c r="B4" s="128" t="s">
        <v>26</v>
      </c>
      <c r="C4" s="128"/>
      <c r="D4" s="128"/>
      <c r="E4" s="128"/>
      <c r="F4" s="128"/>
    </row>
    <row r="5" spans="2:12" ht="44.25" thickBot="1" x14ac:dyDescent="0.65">
      <c r="B5" s="100" t="s">
        <v>27</v>
      </c>
      <c r="C5" s="101" t="s">
        <v>5</v>
      </c>
      <c r="D5" s="101" t="s">
        <v>7</v>
      </c>
      <c r="E5" s="101" t="s">
        <v>4</v>
      </c>
      <c r="F5" s="102" t="s">
        <v>6</v>
      </c>
      <c r="H5" s="124" t="s">
        <v>125</v>
      </c>
      <c r="I5" s="125"/>
      <c r="J5" s="126"/>
      <c r="K5"/>
      <c r="L5"/>
    </row>
    <row r="6" spans="2:12" ht="22.5" thickBot="1" x14ac:dyDescent="0.65">
      <c r="B6" s="11"/>
      <c r="C6" s="12"/>
      <c r="D6" s="9">
        <f>IFERROR(VLOOKUP(B6,Ingredientes!$B:$D,3,FALSE),0)</f>
        <v>0</v>
      </c>
      <c r="E6" s="72">
        <f>IFERROR(VLOOKUP(B6,Ingredientes!$B:$C,2,FALSE),0)</f>
        <v>0</v>
      </c>
      <c r="F6" s="73">
        <f>C6*E6</f>
        <v>0</v>
      </c>
      <c r="H6" s="77" t="s">
        <v>66</v>
      </c>
      <c r="I6" s="80">
        <f>F31</f>
        <v>0</v>
      </c>
      <c r="J6" s="78"/>
    </row>
    <row r="7" spans="2:12" ht="22.5" thickBot="1" x14ac:dyDescent="0.65">
      <c r="B7" s="11"/>
      <c r="C7" s="12"/>
      <c r="D7" s="9">
        <f>IFERROR(VLOOKUP(B7,Ingredientes!$B:$D,3,FALSE),0)</f>
        <v>0</v>
      </c>
      <c r="E7" s="72">
        <f>IFERROR(VLOOKUP(B7,Ingredientes!$B:$C,2,FALSE),0)</f>
        <v>0</v>
      </c>
      <c r="F7" s="73">
        <f t="shared" ref="F7:F30" si="0">C7*E7</f>
        <v>0</v>
      </c>
      <c r="H7" s="67" t="s">
        <v>60</v>
      </c>
      <c r="I7" s="81">
        <f>E34</f>
        <v>0</v>
      </c>
      <c r="J7" s="68"/>
    </row>
    <row r="8" spans="2:12" ht="22.5" thickBot="1" x14ac:dyDescent="0.65">
      <c r="B8" s="11"/>
      <c r="C8" s="12"/>
      <c r="D8" s="9">
        <f>IFERROR(VLOOKUP(B8,Ingredientes!$B:$D,3,FALSE),0)</f>
        <v>0</v>
      </c>
      <c r="E8" s="72">
        <f>IFERROR(VLOOKUP(B8,Ingredientes!$B:$C,2,FALSE),0)</f>
        <v>0</v>
      </c>
      <c r="F8" s="73">
        <f t="shared" si="0"/>
        <v>0</v>
      </c>
      <c r="H8" s="67" t="s">
        <v>61</v>
      </c>
      <c r="I8" s="81" t="str">
        <f>C37</f>
        <v/>
      </c>
      <c r="J8" s="68"/>
    </row>
    <row r="9" spans="2:12" ht="22.5" thickBot="1" x14ac:dyDescent="0.65">
      <c r="B9" s="11"/>
      <c r="C9" s="12"/>
      <c r="D9" s="9">
        <f>IFERROR(VLOOKUP(B9,Ingredientes!$B:$D,3,FALSE),0)</f>
        <v>0</v>
      </c>
      <c r="E9" s="72">
        <f>IFERROR(VLOOKUP(B9,Ingredientes!$B:$C,2,FALSE),0)</f>
        <v>0</v>
      </c>
      <c r="F9" s="73">
        <f t="shared" si="0"/>
        <v>0</v>
      </c>
      <c r="H9" s="67" t="s">
        <v>62</v>
      </c>
      <c r="I9" s="82">
        <f>SUM($I$6:$I$8)</f>
        <v>0</v>
      </c>
      <c r="J9" s="68"/>
    </row>
    <row r="10" spans="2:12" ht="22.5" thickBot="1" x14ac:dyDescent="0.65">
      <c r="B10" s="11"/>
      <c r="C10" s="12"/>
      <c r="D10" s="9">
        <f>IFERROR(VLOOKUP(B10,Ingredientes!$B:$D,3,FALSE),0)</f>
        <v>0</v>
      </c>
      <c r="E10" s="72">
        <f>IFERROR(VLOOKUP(B10,Ingredientes!$B:$C,2,FALSE),0)</f>
        <v>0</v>
      </c>
      <c r="F10" s="73">
        <f t="shared" si="0"/>
        <v>0</v>
      </c>
      <c r="H10" s="67"/>
      <c r="I10" s="69"/>
      <c r="J10" s="68"/>
    </row>
    <row r="11" spans="2:12" ht="22.5" thickBot="1" x14ac:dyDescent="0.65">
      <c r="B11" s="11"/>
      <c r="C11" s="12"/>
      <c r="D11" s="9">
        <f>IFERROR(VLOOKUP(B11,Ingredientes!$B:$D,3,FALSE),0)</f>
        <v>0</v>
      </c>
      <c r="E11" s="72">
        <f>IFERROR(VLOOKUP(B11,Ingredientes!$B:$C,2,FALSE),0)</f>
        <v>0</v>
      </c>
      <c r="F11" s="73">
        <f t="shared" si="0"/>
        <v>0</v>
      </c>
      <c r="H11" s="67" t="s">
        <v>63</v>
      </c>
      <c r="I11" s="104">
        <v>5000</v>
      </c>
      <c r="J11" s="68"/>
    </row>
    <row r="12" spans="2:12" ht="22.5" thickBot="1" x14ac:dyDescent="0.65">
      <c r="B12" s="11"/>
      <c r="C12" s="12"/>
      <c r="D12" s="9">
        <f>IFERROR(VLOOKUP(B12,Ingredientes!$B:$D,3,FALSE),0)</f>
        <v>0</v>
      </c>
      <c r="E12" s="72">
        <f>IFERROR(VLOOKUP(B12,Ingredientes!$B:$C,2,FALSE),0)</f>
        <v>0</v>
      </c>
      <c r="F12" s="73">
        <f t="shared" si="0"/>
        <v>0</v>
      </c>
      <c r="H12" s="67" t="s">
        <v>64</v>
      </c>
      <c r="I12" s="83">
        <f>I11-I9</f>
        <v>5000</v>
      </c>
      <c r="J12" s="68"/>
    </row>
    <row r="13" spans="2:12" ht="22.5" thickBot="1" x14ac:dyDescent="0.65">
      <c r="B13" s="11"/>
      <c r="C13" s="12"/>
      <c r="D13" s="9">
        <f>IFERROR(VLOOKUP(B13,Ingredientes!$B:$D,3,FALSE),0)</f>
        <v>0</v>
      </c>
      <c r="E13" s="72">
        <f>IFERROR(VLOOKUP(B13,Ingredientes!$B:$C,2,FALSE),0)</f>
        <v>0</v>
      </c>
      <c r="F13" s="73">
        <f t="shared" si="0"/>
        <v>0</v>
      </c>
      <c r="H13" s="67" t="s">
        <v>64</v>
      </c>
      <c r="I13" s="84">
        <f>I12/I11</f>
        <v>1</v>
      </c>
      <c r="J13" s="68"/>
    </row>
    <row r="14" spans="2:12" ht="22.5" thickBot="1" x14ac:dyDescent="0.65">
      <c r="B14" s="11"/>
      <c r="C14" s="12"/>
      <c r="D14" s="9">
        <f>IFERROR(VLOOKUP(B14,Ingredientes!$B:$D,3,FALSE),0)</f>
        <v>0</v>
      </c>
      <c r="E14" s="72">
        <f>IFERROR(VLOOKUP(B14,Ingredientes!$B:$C,2,FALSE),0)</f>
        <v>0</v>
      </c>
      <c r="F14" s="73">
        <f t="shared" si="0"/>
        <v>0</v>
      </c>
      <c r="H14" s="67" t="s">
        <v>65</v>
      </c>
      <c r="I14" s="103">
        <f>CIF!C67/(I11-I6-I7)</f>
        <v>236</v>
      </c>
      <c r="J14" s="68"/>
    </row>
    <row r="15" spans="2:12" ht="22.5" thickBot="1" x14ac:dyDescent="0.65">
      <c r="B15" s="11"/>
      <c r="C15" s="12"/>
      <c r="D15" s="9">
        <f>IFERROR(VLOOKUP(B15,Ingredientes!$B:$D,3,FALSE),0)</f>
        <v>0</v>
      </c>
      <c r="E15" s="72">
        <f>IFERROR(VLOOKUP(B15,Ingredientes!$B:$C,2,FALSE),0)</f>
        <v>0</v>
      </c>
      <c r="F15" s="73">
        <f t="shared" si="0"/>
        <v>0</v>
      </c>
      <c r="H15" s="70"/>
      <c r="I15" s="79"/>
      <c r="J15" s="71"/>
    </row>
    <row r="16" spans="2:12" x14ac:dyDescent="0.6">
      <c r="B16" s="11"/>
      <c r="C16" s="12"/>
      <c r="D16" s="9">
        <f>IFERROR(VLOOKUP(B16,Ingredientes!$B:$D,3,FALSE),0)</f>
        <v>0</v>
      </c>
      <c r="E16" s="72">
        <f>IFERROR(VLOOKUP(B16,Ingredientes!$B:$C,2,FALSE),0)</f>
        <v>0</v>
      </c>
      <c r="F16" s="73">
        <f t="shared" si="0"/>
        <v>0</v>
      </c>
    </row>
    <row r="17" spans="2:9" x14ac:dyDescent="0.6">
      <c r="B17" s="11"/>
      <c r="C17" s="12"/>
      <c r="D17" s="9">
        <f>IFERROR(VLOOKUP(B17,Ingredientes!$B:$D,3,FALSE),0)</f>
        <v>0</v>
      </c>
      <c r="E17" s="72">
        <f>IFERROR(VLOOKUP(B17,Ingredientes!$B:$C,2,FALSE),0)</f>
        <v>0</v>
      </c>
      <c r="F17" s="73">
        <f t="shared" si="0"/>
        <v>0</v>
      </c>
    </row>
    <row r="18" spans="2:9" x14ac:dyDescent="0.6">
      <c r="B18" s="11"/>
      <c r="C18" s="12"/>
      <c r="D18" s="9">
        <f>IFERROR(VLOOKUP(B18,Ingredientes!$B:$D,3,FALSE),0)</f>
        <v>0</v>
      </c>
      <c r="E18" s="72">
        <f>IFERROR(VLOOKUP(B18,Ingredientes!$B:$C,2,FALSE),0)</f>
        <v>0</v>
      </c>
      <c r="F18" s="73">
        <f t="shared" si="0"/>
        <v>0</v>
      </c>
    </row>
    <row r="19" spans="2:9" x14ac:dyDescent="0.6">
      <c r="B19" s="11"/>
      <c r="C19" s="12"/>
      <c r="D19" s="9">
        <f>IFERROR(VLOOKUP(B19,Ingredientes!$B:$D,3,FALSE),0)</f>
        <v>0</v>
      </c>
      <c r="E19" s="72">
        <f>IFERROR(VLOOKUP(B19,Ingredientes!$B:$C,2,FALSE),0)</f>
        <v>0</v>
      </c>
      <c r="F19" s="73">
        <f t="shared" si="0"/>
        <v>0</v>
      </c>
    </row>
    <row r="20" spans="2:9" x14ac:dyDescent="0.6">
      <c r="B20" s="11"/>
      <c r="C20" s="12"/>
      <c r="D20" s="9">
        <f>IFERROR(VLOOKUP(B20,Ingredientes!$B:$D,3,FALSE),0)</f>
        <v>0</v>
      </c>
      <c r="E20" s="72">
        <f>IFERROR(VLOOKUP(B20,Ingredientes!$B:$C,2,FALSE),0)</f>
        <v>0</v>
      </c>
      <c r="F20" s="73">
        <f t="shared" si="0"/>
        <v>0</v>
      </c>
    </row>
    <row r="21" spans="2:9" x14ac:dyDescent="0.6">
      <c r="B21" s="11"/>
      <c r="C21" s="12"/>
      <c r="D21" s="9">
        <f>IFERROR(VLOOKUP(B21,Ingredientes!$B:$D,3,FALSE),0)</f>
        <v>0</v>
      </c>
      <c r="E21" s="72">
        <f>IFERROR(VLOOKUP(B21,Ingredientes!$B:$C,2,FALSE),0)</f>
        <v>0</v>
      </c>
      <c r="F21" s="73">
        <f t="shared" si="0"/>
        <v>0</v>
      </c>
    </row>
    <row r="22" spans="2:9" x14ac:dyDescent="0.6">
      <c r="B22" s="11"/>
      <c r="C22" s="12"/>
      <c r="D22" s="9">
        <f>IFERROR(VLOOKUP(B22,Ingredientes!$B:$D,3,FALSE),0)</f>
        <v>0</v>
      </c>
      <c r="E22" s="72">
        <f>IFERROR(VLOOKUP(B22,Ingredientes!$B:$C,2,FALSE),0)</f>
        <v>0</v>
      </c>
      <c r="F22" s="73">
        <f t="shared" si="0"/>
        <v>0</v>
      </c>
    </row>
    <row r="23" spans="2:9" x14ac:dyDescent="0.6">
      <c r="B23" s="11"/>
      <c r="C23" s="12"/>
      <c r="D23" s="9">
        <f>IFERROR(VLOOKUP(B23,Ingredientes!$B:$D,3,FALSE),0)</f>
        <v>0</v>
      </c>
      <c r="E23" s="72">
        <f>IFERROR(VLOOKUP(B23,Ingredientes!$B:$C,2,FALSE),0)</f>
        <v>0</v>
      </c>
      <c r="F23" s="73">
        <f t="shared" si="0"/>
        <v>0</v>
      </c>
    </row>
    <row r="24" spans="2:9" x14ac:dyDescent="0.6">
      <c r="B24" s="11"/>
      <c r="C24" s="12"/>
      <c r="D24" s="9">
        <f>IFERROR(VLOOKUP(B24,Ingredientes!$B:$D,3,FALSE),0)</f>
        <v>0</v>
      </c>
      <c r="E24" s="72">
        <f>IFERROR(VLOOKUP(B24,Ingredientes!$B:$C,2,FALSE),0)</f>
        <v>0</v>
      </c>
      <c r="F24" s="73">
        <f t="shared" si="0"/>
        <v>0</v>
      </c>
    </row>
    <row r="25" spans="2:9" x14ac:dyDescent="0.6">
      <c r="B25" s="11"/>
      <c r="C25" s="12"/>
      <c r="D25" s="9">
        <f>IFERROR(VLOOKUP(B25,Ingredientes!$B:$D,3,FALSE),0)</f>
        <v>0</v>
      </c>
      <c r="E25" s="72">
        <f>IFERROR(VLOOKUP(B25,Ingredientes!$B:$C,2,FALSE),0)</f>
        <v>0</v>
      </c>
      <c r="F25" s="73">
        <f t="shared" si="0"/>
        <v>0</v>
      </c>
    </row>
    <row r="26" spans="2:9" x14ac:dyDescent="0.6">
      <c r="B26" s="11"/>
      <c r="C26" s="12"/>
      <c r="D26" s="9">
        <f>IFERROR(VLOOKUP(B26,Ingredientes!$B:$D,3,FALSE),0)</f>
        <v>0</v>
      </c>
      <c r="E26" s="72">
        <f>IFERROR(VLOOKUP(B26,Ingredientes!$B:$C,2,FALSE),0)</f>
        <v>0</v>
      </c>
      <c r="F26" s="73">
        <f>C26*E26</f>
        <v>0</v>
      </c>
    </row>
    <row r="27" spans="2:9" x14ac:dyDescent="0.6">
      <c r="B27" s="11"/>
      <c r="C27" s="12"/>
      <c r="D27" s="9">
        <f>IFERROR(VLOOKUP(B27,Ingredientes!$B:$D,3,FALSE),0)</f>
        <v>0</v>
      </c>
      <c r="E27" s="72">
        <f>IFERROR(VLOOKUP(B27,Ingredientes!$B:$C,2,FALSE),0)</f>
        <v>0</v>
      </c>
      <c r="F27" s="73">
        <f t="shared" ref="F27" si="1">C27*E27</f>
        <v>0</v>
      </c>
    </row>
    <row r="28" spans="2:9" x14ac:dyDescent="0.6">
      <c r="B28" s="11"/>
      <c r="C28" s="12"/>
      <c r="D28" s="9">
        <f>IFERROR(VLOOKUP(B28,Ingredientes!$B:$D,3,FALSE),0)</f>
        <v>0</v>
      </c>
      <c r="E28" s="72">
        <f>IFERROR(VLOOKUP(B28,Ingredientes!$B:$C,2,FALSE),0)</f>
        <v>0</v>
      </c>
      <c r="F28" s="73">
        <f t="shared" si="0"/>
        <v>0</v>
      </c>
    </row>
    <row r="29" spans="2:9" x14ac:dyDescent="0.6">
      <c r="B29" s="11"/>
      <c r="C29" s="12"/>
      <c r="D29" s="9">
        <f>IFERROR(VLOOKUP(B29,Ingredientes!$B:$D,3,FALSE),0)</f>
        <v>0</v>
      </c>
      <c r="E29" s="72">
        <f>IFERROR(VLOOKUP(B29,Ingredientes!$B:$C,2,FALSE),0)</f>
        <v>0</v>
      </c>
      <c r="F29" s="73">
        <f t="shared" si="0"/>
        <v>0</v>
      </c>
    </row>
    <row r="30" spans="2:9" ht="22.5" thickBot="1" x14ac:dyDescent="0.65">
      <c r="B30" s="13"/>
      <c r="C30" s="14"/>
      <c r="D30" s="10">
        <f>IFERROR(VLOOKUP(B30,Ingredientes!$B:$D,3,FALSE),0)</f>
        <v>0</v>
      </c>
      <c r="E30" s="74">
        <f>IFERROR(VLOOKUP(B30,Ingredientes!$B:$C,2,FALSE),0)</f>
        <v>0</v>
      </c>
      <c r="F30" s="75">
        <f t="shared" si="0"/>
        <v>0</v>
      </c>
    </row>
    <row r="31" spans="2:9" ht="22.5" thickBot="1" x14ac:dyDescent="0.65">
      <c r="D31" s="5"/>
      <c r="E31" s="6"/>
      <c r="F31" s="76">
        <f>SUM(F6:F30)</f>
        <v>0</v>
      </c>
    </row>
    <row r="32" spans="2:9" ht="23.25" thickTop="1" thickBot="1" x14ac:dyDescent="0.65">
      <c r="F32"/>
      <c r="G32"/>
      <c r="H32" s="122" t="s">
        <v>40</v>
      </c>
      <c r="I32" s="123"/>
    </row>
    <row r="33" spans="2:9" ht="39.75" thickBot="1" x14ac:dyDescent="0.65">
      <c r="B33" s="27" t="s">
        <v>42</v>
      </c>
      <c r="C33" s="16" t="s">
        <v>36</v>
      </c>
      <c r="D33" s="16" t="s">
        <v>37</v>
      </c>
      <c r="E33" s="16" t="s">
        <v>58</v>
      </c>
      <c r="F33"/>
      <c r="G33"/>
      <c r="H33" s="16" t="s">
        <v>38</v>
      </c>
      <c r="I33" s="16" t="s">
        <v>39</v>
      </c>
    </row>
    <row r="34" spans="2:9" ht="22.5" thickBot="1" x14ac:dyDescent="0.65">
      <c r="B34" s="66" t="s">
        <v>57</v>
      </c>
      <c r="C34" s="107"/>
      <c r="D34" s="65">
        <f>MO!E18</f>
        <v>1100000</v>
      </c>
      <c r="E34" s="99">
        <f>C34*D34</f>
        <v>0</v>
      </c>
      <c r="F34"/>
      <c r="G34"/>
      <c r="H34" s="28"/>
      <c r="I34" s="29">
        <f>H34/60</f>
        <v>0</v>
      </c>
    </row>
    <row r="35" spans="2:9" ht="22.5" thickBot="1" x14ac:dyDescent="0.65">
      <c r="D35"/>
      <c r="E35"/>
      <c r="F35"/>
      <c r="G35"/>
    </row>
    <row r="36" spans="2:9" ht="22.5" thickBot="1" x14ac:dyDescent="0.65">
      <c r="B36" s="27" t="s">
        <v>42</v>
      </c>
      <c r="C36" s="129" t="s">
        <v>124</v>
      </c>
      <c r="D36" s="130"/>
      <c r="E36" s="131"/>
      <c r="F36"/>
      <c r="G36"/>
    </row>
    <row r="37" spans="2:9" ht="22.5" thickBot="1" x14ac:dyDescent="0.65">
      <c r="B37" s="98" t="s">
        <v>59</v>
      </c>
      <c r="C37" s="119" t="str">
        <f>VLOOKUP(B2,CIF!F:I,4,FALSE)</f>
        <v/>
      </c>
      <c r="D37" s="120"/>
      <c r="E37" s="121"/>
      <c r="F37"/>
      <c r="G37"/>
    </row>
    <row r="38" spans="2:9" x14ac:dyDescent="0.6">
      <c r="D38"/>
      <c r="E38"/>
      <c r="F38"/>
      <c r="G38"/>
    </row>
    <row r="39" spans="2:9" hidden="1" x14ac:dyDescent="0.6">
      <c r="D39"/>
      <c r="E39"/>
      <c r="F39"/>
      <c r="G39"/>
    </row>
    <row r="43" spans="2:9" hidden="1" x14ac:dyDescent="0.6">
      <c r="E43" s="6"/>
      <c r="F43" s="6"/>
    </row>
    <row r="44" spans="2:9" hidden="1" x14ac:dyDescent="0.6">
      <c r="E44" s="6"/>
      <c r="F44" s="6"/>
    </row>
    <row r="45" spans="2:9" hidden="1" x14ac:dyDescent="0.6">
      <c r="E45" s="6"/>
      <c r="F45" s="6"/>
    </row>
    <row r="46" spans="2:9" hidden="1" x14ac:dyDescent="0.6">
      <c r="E46" s="6"/>
      <c r="F46" s="6"/>
    </row>
    <row r="47" spans="2:9" hidden="1" x14ac:dyDescent="0.6">
      <c r="E47" s="6"/>
      <c r="F47" s="6"/>
    </row>
    <row r="48" spans="2:9" hidden="1" x14ac:dyDescent="0.6">
      <c r="E48" s="6"/>
      <c r="F48" s="6"/>
    </row>
    <row r="49" spans="5:6" hidden="1" x14ac:dyDescent="0.6">
      <c r="E49" s="6"/>
      <c r="F49" s="6"/>
    </row>
    <row r="50" spans="5:6" hidden="1" x14ac:dyDescent="0.6">
      <c r="E50" s="6"/>
      <c r="F50" s="6"/>
    </row>
    <row r="51" spans="5:6" hidden="1" x14ac:dyDescent="0.6">
      <c r="E51" s="6"/>
      <c r="F51" s="6"/>
    </row>
    <row r="52" spans="5:6" hidden="1" x14ac:dyDescent="0.6">
      <c r="E52" s="6"/>
      <c r="F52" s="6"/>
    </row>
    <row r="53" spans="5:6" hidden="1" x14ac:dyDescent="0.6">
      <c r="E53" s="6"/>
      <c r="F53" s="6"/>
    </row>
    <row r="54" spans="5:6" hidden="1" x14ac:dyDescent="0.6">
      <c r="E54" s="6"/>
      <c r="F54" s="6"/>
    </row>
    <row r="55" spans="5:6" hidden="1" x14ac:dyDescent="0.6">
      <c r="E55" s="6"/>
      <c r="F55" s="6"/>
    </row>
    <row r="56" spans="5:6" hidden="1" x14ac:dyDescent="0.6">
      <c r="E56" s="6"/>
      <c r="F56" s="6"/>
    </row>
    <row r="57" spans="5:6" hidden="1" x14ac:dyDescent="0.6">
      <c r="E57" s="6"/>
      <c r="F57" s="6"/>
    </row>
    <row r="58" spans="5:6" hidden="1" x14ac:dyDescent="0.6">
      <c r="E58" s="6"/>
      <c r="F58" s="6"/>
    </row>
    <row r="59" spans="5:6" hidden="1" x14ac:dyDescent="0.6">
      <c r="E59" s="6"/>
      <c r="F59" s="6"/>
    </row>
    <row r="60" spans="5:6" hidden="1" x14ac:dyDescent="0.6">
      <c r="E60" s="6"/>
      <c r="F60" s="6"/>
    </row>
    <row r="61" spans="5:6" hidden="1" x14ac:dyDescent="0.6">
      <c r="E61" s="6"/>
      <c r="F61" s="6"/>
    </row>
    <row r="62" spans="5:6" hidden="1" x14ac:dyDescent="0.6">
      <c r="E62" s="6"/>
      <c r="F62" s="6"/>
    </row>
    <row r="63" spans="5:6" hidden="1" x14ac:dyDescent="0.6">
      <c r="E63" s="6"/>
      <c r="F63" s="6"/>
    </row>
    <row r="64" spans="5:6" hidden="1" x14ac:dyDescent="0.6">
      <c r="E64" s="6"/>
      <c r="F64" s="6"/>
    </row>
    <row r="65" spans="5:6" hidden="1" x14ac:dyDescent="0.6">
      <c r="E65" s="6"/>
      <c r="F65" s="6"/>
    </row>
    <row r="66" spans="5:6" hidden="1" x14ac:dyDescent="0.6">
      <c r="E66" s="6"/>
      <c r="F66" s="6"/>
    </row>
    <row r="67" spans="5:6" hidden="1" x14ac:dyDescent="0.6">
      <c r="E67" s="6"/>
      <c r="F67" s="6"/>
    </row>
    <row r="68" spans="5:6" hidden="1" x14ac:dyDescent="0.6">
      <c r="E68" s="6"/>
      <c r="F68" s="6"/>
    </row>
    <row r="69" spans="5:6" hidden="1" x14ac:dyDescent="0.6">
      <c r="E69" s="6"/>
      <c r="F69" s="6"/>
    </row>
    <row r="70" spans="5:6" hidden="1" x14ac:dyDescent="0.6">
      <c r="E70" s="6"/>
      <c r="F70" s="6"/>
    </row>
    <row r="71" spans="5:6" hidden="1" x14ac:dyDescent="0.6">
      <c r="E71" s="6"/>
      <c r="F71" s="6"/>
    </row>
    <row r="72" spans="5:6" hidden="1" x14ac:dyDescent="0.6">
      <c r="E72" s="6"/>
      <c r="F72" s="6"/>
    </row>
    <row r="73" spans="5:6" hidden="1" x14ac:dyDescent="0.6">
      <c r="E73" s="6"/>
      <c r="F73" s="6"/>
    </row>
    <row r="74" spans="5:6" hidden="1" x14ac:dyDescent="0.6">
      <c r="E74" s="6"/>
      <c r="F74" s="6"/>
    </row>
    <row r="75" spans="5:6" hidden="1" x14ac:dyDescent="0.6">
      <c r="E75" s="6"/>
      <c r="F75" s="6"/>
    </row>
    <row r="76" spans="5:6" hidden="1" x14ac:dyDescent="0.6">
      <c r="E76" s="6"/>
      <c r="F76" s="6"/>
    </row>
    <row r="77" spans="5:6" hidden="1" x14ac:dyDescent="0.6">
      <c r="E77" s="6"/>
      <c r="F77" s="6"/>
    </row>
    <row r="78" spans="5:6" hidden="1" x14ac:dyDescent="0.6">
      <c r="E78" s="6"/>
      <c r="F78" s="6"/>
    </row>
    <row r="79" spans="5:6" hidden="1" x14ac:dyDescent="0.6">
      <c r="E79" s="6"/>
      <c r="F79" s="6"/>
    </row>
    <row r="80" spans="5:6" hidden="1" x14ac:dyDescent="0.6">
      <c r="E80" s="6"/>
      <c r="F80" s="6"/>
    </row>
    <row r="81" spans="5:6" hidden="1" x14ac:dyDescent="0.6">
      <c r="E81" s="6"/>
      <c r="F81" s="6"/>
    </row>
    <row r="82" spans="5:6" hidden="1" x14ac:dyDescent="0.6">
      <c r="E82" s="6"/>
      <c r="F82" s="6"/>
    </row>
  </sheetData>
  <mergeCells count="6">
    <mergeCell ref="C37:E37"/>
    <mergeCell ref="B2:F2"/>
    <mergeCell ref="B4:F4"/>
    <mergeCell ref="H5:J5"/>
    <mergeCell ref="H32:I32"/>
    <mergeCell ref="C36:E36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CBCD1A-07A8-4C8D-A0C6-5C4020FEDF1A}">
          <x14:formula1>
            <xm:f>Ingredientes!$B$5:$B$769</xm:f>
          </x14:formula1>
          <xm:sqref>B6:B30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A8C8-66EC-412A-9953-642DC7A70FE3}">
  <dimension ref="A1:A4"/>
  <sheetViews>
    <sheetView workbookViewId="0">
      <selection activeCell="A4" sqref="A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65</vt:i4>
      </vt:variant>
    </vt:vector>
  </HeadingPairs>
  <TitlesOfParts>
    <vt:vector size="65" baseType="lpstr">
      <vt:lpstr>MENU</vt:lpstr>
      <vt:lpstr>Ingredientes</vt:lpstr>
      <vt:lpstr>MO</vt:lpstr>
      <vt:lpstr>CIF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Talisma</dc:creator>
  <cp:lastModifiedBy>Cribioli</cp:lastModifiedBy>
  <dcterms:created xsi:type="dcterms:W3CDTF">2025-01-15T22:00:08Z</dcterms:created>
  <dcterms:modified xsi:type="dcterms:W3CDTF">2025-11-05T16:52:18Z</dcterms:modified>
</cp:coreProperties>
</file>